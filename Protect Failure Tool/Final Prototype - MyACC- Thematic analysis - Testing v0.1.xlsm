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tewaka-my.sharepoint.com/personal/djw0393_arastudent_ac_nz/Documents/Year 3/Semester 1/IT Governance/Assessment 1/Submitted version/BCIS303 - Ass#1 - Olivier Gautrelet Daniel Wild/"/>
    </mc:Choice>
  </mc:AlternateContent>
  <xr:revisionPtr revIDLastSave="528" documentId="108_{68805D2A-F216-433C-A231-2AA782B83552}" xr6:coauthVersionLast="47" xr6:coauthVersionMax="47" xr10:uidLastSave="{AAA26905-9240-47A6-91DF-1CAB0DE9D9A6}"/>
  <bookViews>
    <workbookView xWindow="38280" yWindow="-120" windowWidth="38640" windowHeight="21240" activeTab="2" xr2:uid="{AF18A595-1C80-4B1E-9321-76178412EFE9}"/>
  </bookViews>
  <sheets>
    <sheet name="Instructions" sheetId="3" r:id="rId1"/>
    <sheet name="Analysis" sheetId="4" r:id="rId2"/>
    <sheet name="Questions and Summary" sheetId="1" r:id="rId3"/>
    <sheet name="Findings" sheetId="5" r:id="rId4"/>
  </sheets>
  <externalReferences>
    <externalReference r:id="rId5"/>
  </externalReferenc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7" i="1" l="1" a="1"/>
  <c r="O7" i="1" s="1"/>
  <c r="O6" i="1" a="1"/>
  <c r="O6" i="1" s="1"/>
  <c r="O4" i="1" a="1"/>
  <c r="O4" i="1" s="1"/>
  <c r="O5" i="1" a="1"/>
  <c r="O5" i="1" s="1"/>
  <c r="I5" i="1" l="1"/>
  <c r="I4" i="1"/>
  <c r="J2" i="5" l="1"/>
  <c r="J5" i="5"/>
  <c r="J4" i="5"/>
  <c r="J3" i="5"/>
  <c r="J6" i="5" l="1"/>
  <c r="K4" i="1" s="1"/>
  <c r="K7" i="1" l="1"/>
  <c r="K5" i="1"/>
  <c r="K6" i="1"/>
  <c r="I7" i="1"/>
  <c r="L7" i="1" s="1"/>
  <c r="I6" i="1"/>
  <c r="L6" i="1" s="1"/>
  <c r="L5" i="1"/>
  <c r="L4" i="1"/>
  <c r="N4" i="1" s="1"/>
  <c r="N7" i="1" l="1"/>
  <c r="M7" i="1" s="1"/>
  <c r="N5" i="1"/>
  <c r="M5" i="1" s="1"/>
  <c r="N6" i="1"/>
  <c r="M6" i="1" s="1"/>
  <c r="M4" i="1"/>
  <c r="K2" i="5" l="1"/>
  <c r="K3" i="5"/>
  <c r="K4" i="5"/>
  <c r="K6" i="5"/>
  <c r="K5"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<sst xmlns="http://schemas.openxmlformats.org/spreadsheetml/2006/main" count="361" uniqueCount="207">
  <si>
    <t>Instructions</t>
  </si>
  <si>
    <t>1. Complete a thematic analysis on your project using the Analysis tab</t>
  </si>
  <si>
    <t>2. Answer the questions for each category to get an overall score</t>
  </si>
  <si>
    <t>3. View the breakdown of your projects possible problem areas in the Summary table</t>
  </si>
  <si>
    <t>4. Read the summary of the research findings.</t>
  </si>
  <si>
    <t>Thematic analysis</t>
  </si>
  <si>
    <t>Stop one: What are you lookig for? What is your discvery question/purpose</t>
  </si>
  <si>
    <t>factor that may influence the outcome of the project</t>
  </si>
  <si>
    <t> </t>
  </si>
  <si>
    <t>Reference (resources and page number)</t>
  </si>
  <si>
    <t>Extracts (text from the resourcse)</t>
  </si>
  <si>
    <t>What does it tell me (summary)</t>
  </si>
  <si>
    <t>Theme/Factor (typically data that helps answering your question)</t>
  </si>
  <si>
    <t>Grouping of factor</t>
  </si>
  <si>
    <t>Theme occurrence</t>
  </si>
  <si>
    <t>Total occurrences 75</t>
  </si>
  <si>
    <t>MyACC for Business was designed and built through an internal collaboration between the part of ACC responsible for Business Customer Service Delivery, and the team responsible for digital developments with input from the Customer Insights and Experience unit of ACC. The people responsible for these areas are referred to at times as the Senior Responsible Officer (SRO) for MyACC for Business, the SRO Digital and the SRO Customer Insights and Experience respectively. This intra-organizational partnership marries the relationship between a business customer focus, ACC’s transactions with business customers via various channels, and the overall experience of these customers when interacting with ACC</t>
  </si>
  <si>
    <t>I seems that the project the project management identified responsibility early on and collaborate with other department</t>
  </si>
  <si>
    <t>Good project planning  Identification of roles + accountability</t>
  </si>
  <si>
    <t>People 
Process</t>
  </si>
  <si>
    <t xml:space="preserve">Good project planning = 22
Identification of roles = 2
Identification of suitable technology = 1
Good Stakeholder management = 9
Good Risk assessment = 1
Customer=centric design = 16
Requirement determination gathering = 1
good communication = 11
Experienced team = 1
Continious development = 1
management accountability = 2
Technology research = 1
Good leadership decisions = 1
Good quality control = 6
</t>
  </si>
  <si>
    <t>The development of technology-based solutions to make transactions between business customers and ACC more customer orientated, efficient and effective as well as meeting the strategic objectives of ACC, promised benefits to the business customer and to ACC. While the SRO Business Customer has overall responsibility for MyACC for Business, in practice all three SROs contributed to the oversight of the development of this project and have an ongoing governance role.</t>
  </si>
  <si>
    <t>Structure identified, leadership / reponsability in place. Customer focus</t>
  </si>
  <si>
    <t>A vision for what the development of MyACC for Business could be became more possible following the replacement of ACC’s core legacy system which managed business customers, invoicing and payments of levies. Project Juno, as it was known internally, gave ACC a modern system called Guidewire which is now ACC’s core background system for levy management. Guidewire links to other systems in government, such as those of Inland Revenue Department (IRD) and the Ministry of Business, Innovation and Employment (MBIE), and uses the Cloud for data storage. These linkages allow ACC to comply with all-of-government regulations and guidelines, such as the use of New Zealand Business Numbers (ACC, 2017).</t>
  </si>
  <si>
    <t>Development of MyAcc followed the replacement in Technology of acc core system which integrate well with other governement systems</t>
  </si>
  <si>
    <t>Good Project planning
Identification of suitable technology</t>
  </si>
  <si>
    <t>Process
Technology</t>
  </si>
  <si>
    <t>Having this more modern platform and the use of the Cloud was widely viewed within ACC as important enablers for the development of MyACC for Business. The successful implementation of Project Juno was a necessary precursor to the development of MyACC for Business. Prior to the completion of the Juno project, attempts to be more customer-centric, and achieve customer satisfaction, required considerable resources behind the scenes: the service user might not necessarily have experienced it, but some processes required significant manual intervention by ACC at the back end. This added costs to ACC and vulnerabilities to the quality and consistency of the customer service experience. Transactions were fragmented, non-uniform and more error prone because of this manual processing and other workarounds of the inadequate legacy systems.</t>
  </si>
  <si>
    <t>The development of MyAcc occured after the new core system was updated and enable a good integration and more customer-centric approach.</t>
  </si>
  <si>
    <t>Good project planning
Stakeholder management
Risk assessment</t>
  </si>
  <si>
    <t>Because these legacy systems presented such a barrier to achieving the vision for ACC articulated in Shaping our Future, considerable resources and time were invested in finding a product that would help ACC be among the best, not just in the New Zealand public sector but in their class of industry globally. ACC was aware that some of their business customers were international companies and they wanted their experience of dealing with ACC to be as good as it would be when dealing with any other service provider across the world.</t>
  </si>
  <si>
    <t>Resource invested to understand market and confirm opportunities</t>
  </si>
  <si>
    <t xml:space="preserve">Good project planning
Good stakeholder management
Customer-centric
</t>
  </si>
  <si>
    <t>To support the technological developments, in parallel, there were incremental adjustments to ACC’s organizational structures and processes. The Digital team were responsible for the building of MyACC for Business and this team deliberately embraced an agile methodology as one well suited to the kind of incremental build envisaged. This meant that rather than a traditional waterfall project where the final product is fully designed at the outset of the build and the product does not emerge for the customer to see and use until the end of the technology build, a minimal viable product (MVP) began to be released within weeks of commencement of the build of MyACC for Business in 2018.</t>
  </si>
  <si>
    <t>The digital team decided to use Agile methodology to suuits the incremental build envision. Which means MVP was released within week of commencement instead a full product delivery at the end of project.</t>
  </si>
  <si>
    <t xml:space="preserve">Good project planning - (identification of project management methodology)
Helps with requirement gathering
Customer-centric
</t>
  </si>
  <si>
    <t>Right from the beginning, this development was customer focused. The Business Customer SRO was keen to remove the ‘pain points’ experienced by business customers in their dealings with ACC. This meant better quality information for the business customers and 24x7 access to services via the website given the diversity of the business customers. Achieving this came with the inherent challenge that many ACC business customers are small businesses or sole traders, and many of them view the ACC levies they are required to pay as a tax. Therefore, ACC’s challenge was to make these interactions simple to do, and to make paying this compulsory and largely unwelcomed levy as transparent, easy and pain free as possible.</t>
  </si>
  <si>
    <t>Customer focused approach from the beginning. SRO wanted to learn from customer experience to remove pain points.</t>
  </si>
  <si>
    <t xml:space="preserve">Customer-centric
good project planning
</t>
  </si>
  <si>
    <t>To achieve these aims ACC drew on insights it had into customer’s experiences of dealing with ACC and how these might be best alleviated, for the development of MyACC for Business. The internal capability to achieve this vision is an ongoing work in progress. The customer personas that had been developed by ACC in 2014 were refreshed and personas such as ‘frustrated self-employed’ were added. These customer personas guided a lot of the early MyACC for Business development. Since around 2016, ACC’s digital development processes have been evolving away from the traditional waterfall project approach, widely used in the public sector and on ACC’s Juno project, towards more agile methods and a focus on products aimed at meeting customers’ needs and increasing their positive experience of dealing with ACC.</t>
  </si>
  <si>
    <t>Development of MyAcc followed a customer based approach, using personas etc… User centric development</t>
  </si>
  <si>
    <t xml:space="preserve">Customer-centric
good project planning
Requirement determination gathering - agile
</t>
  </si>
  <si>
    <t>Using an agile methodology (Kanban) and human-centred design approaches, the Digital Product team responsible for building and maintaining of the MyACC for Business product, one of the first cabs off this rank, were able to release viable versions of a working product as soon as they were ready and to use the customer feedback they received from these releases to inform their ongoing development and refinements. In-built customer feedback is an important feature of MyACC for Business’s product design and this was used to help with sequencing the build and priorities within the development. Heartbeat is the ACC name for their online customer feedback and experience data collection. Senior management at ACC get daily updates on customer feedback on their experiences of dealing with ACC and this is used to inform follow-up action to better understand customer experiences and future developments</t>
  </si>
  <si>
    <t>use a technology that fits with the project development vision. (user-centric) Good communication with stakeholders (daily feedback management to customers)</t>
  </si>
  <si>
    <t>Good project planning
customer-centric
good communication
good stakeholder management</t>
  </si>
  <si>
    <t>The move to agile required adaptation of the business processes at ACC focused on digital programme governance, monitoring and financial drawdowns for the development. The overall business transformation programme was signed off at Ministerial and Board level in 2014 as a multiyear programme. Over time ACC has refined how it prioritises within this overall budget and product development to achieve business benefits and the transformational goals sought from this programme. The agile development methods bring with them inbuilt processes for continuous development, monitoring, prioritisation and right sizing.</t>
  </si>
  <si>
    <t>Decision to use Agile was sign off in 2014 as multi year programme. Use of Agile for continious development, monitoring, prioritisation.</t>
  </si>
  <si>
    <t>Good Project planning
Good management controls</t>
  </si>
  <si>
    <t xml:space="preserve">
Process</t>
  </si>
  <si>
    <t>At its initiation, the MyACC for Business product was scoped for the resources needed for its initial development and ongoing maintenance and budgeted for within the ACC Board’s Shaping our Future initiatives. Yearly funding for ongoing development is now bid for internally based on benefits identified and priority. This ongoing investment by the Board may eventually reach a point of requiring maintenance only when no further customer benefits can be identified. In 2020, the product team consisted of 11 members of multi-disciplinary squads with, for example, business analysts, SCRUM masters, customer experience expertise, digital coders.</t>
  </si>
  <si>
    <t>Resource scope from beginning of development + maintenance. In 2020 the product team now counts 11 members of multi-disciplinary squads (multiples background and roles)</t>
  </si>
  <si>
    <t>Good requirement determination
Experienced team
Continious development</t>
  </si>
  <si>
    <t>The work that has been done and what still needs to be done is reviewed and reprioritised quarterly by the business owner(s) from Business Customer, Customer Experience and Digital, referred to above. This ensures ongoing and evolving ownership, relevance and priority for the organization as a whole in meeting business strategy and ACC’s transformation goals, emanating from the vision document Shaping our Future, to be customer centric.</t>
  </si>
  <si>
    <t xml:space="preserve">Constant work review, even after implementation (quarterly) involving business owner, business customer, customer experience, digital. This ensure role definition, leadership </t>
  </si>
  <si>
    <t>Quality controls
Stakeholder management
accountability
good communication</t>
  </si>
  <si>
    <t>ACC’s agile approach to the development of MyACC for Business means that this is not a project that began, had an intensive period of work and came to an end when it was adopted as business as usual. The product continues to be maintained, and is also added to, to further enhance the customer experience and deliver further benefits to ACC and its business customers. ACC continues to be using customer experience data to improve the quality of the overall customer experience with ACC and to maximise the returns on the investment so far in delivering business benefits to ACC and their customers.</t>
  </si>
  <si>
    <t>Use a project methodology that use constant feedback and continous development. To avoid delivering a product that would have fail. Continious use of user experience data to improve product.</t>
  </si>
  <si>
    <t xml:space="preserve">Good Project planning
Good management controls
good communication
good stakeholders management
</t>
  </si>
  <si>
    <t>The agile methods adopted by ACC have proved themselves resilient under times of change and stress. For example, during the period of Covid-19 levels 4 and 3 in 2020, when large numbers of New Zealanders were staying home, ACC was able to pause their developments, review priorities and reallocate capability and resources as needed under the new circumstances. Developments such as advancing telehealth, a development already on the drawing boards, could be sped up, because the necessary resources and prioritisation processes to do this were controlled in-house.</t>
  </si>
  <si>
    <t>use of adequat prodject methodology enable to react faster to external issues such as covid. Reactivity and constant planning.</t>
  </si>
  <si>
    <t>At ACC the digital team is seen as a provider of digital solutions to the problems identified by the business arm and consequently a servant of business transformation. This orientation between business strategy and digital resulted from an organizational mindset change. The new mindset saw what needed to be done through the eyes, experiences and aspirations of ACC’s customers.</t>
  </si>
  <si>
    <t xml:space="preserve">Business strategy is build around its customers experience and aspirations. </t>
  </si>
  <si>
    <t>Good Project planning
good stakeholders management</t>
  </si>
  <si>
    <t>My team is ostensibly responsible for all the services we provide business customers. They can range from the insurable products suite that we put together for business customers is all it needs to be, through to how we inform and collect levies, through to all the communications that we have remotely, via teams on the ground or out there in the region. Because I have responsibility for the services delivered, I have oversight, not formal accountability, for what happens in the digital world…</t>
  </si>
  <si>
    <t>Effective communication, accountability</t>
  </si>
  <si>
    <t>The [Digital] design team work with my team to make sure anything that we put out there is what we want it to be. … The other part of the equation is the Customer team. We have a very strong customer lens now driven by our Customer team who gather insights, and real time quantitative and qualitative data on customer experience of ACC from which we design our deliverables to business customers in the MyA4B case. … there are different ways different parts of the business are connected and we have quite a seamless way now within ACC of connecting those dots. SRO Business Customer</t>
  </si>
  <si>
    <t xml:space="preserve">Teams seems to work well together, teams integrate and learn from each others. Use a data collected by different team to improve product. </t>
  </si>
  <si>
    <t>customer-centric
Good communication</t>
  </si>
  <si>
    <t>There are various different forums and performance network groups that my team facilitate to help others understand our customers, whether that is through customers telling us directly or through monitoring the performance data built into out digital products. SRO Customer Insights and Experience</t>
  </si>
  <si>
    <t>use of different channel to monitor the performace data. Customer insights and experiences</t>
  </si>
  <si>
    <t>customer-centric
Good communication
good management controls</t>
  </si>
  <si>
    <t>We conducted 47 workshops from the top to the bottom of New Zealand; we spoke to five and half thousand people of whom about 1,100 we our own staff who we asked to walk in the shoes of our customers. We gained tremendous insights from the perspectives of people who had had an accident event, our business customer – about 500,000 of them of all sizes from self-employed to large corporations, and our providers. We got a huge amount of information about what people thought of us, good bad and indifferent, and importantly what people would want from our services. That discovery and diagnostic phase that we went through was incredibly important. ACC CEO</t>
  </si>
  <si>
    <t>Lot of planning in term of communication with stakeholder, and identify their needs. Use of real customer-driven data to identify what is expected from the product / platform</t>
  </si>
  <si>
    <t>Good planning
Good communication
good stakeholder management
good quality control
Customer-centric</t>
  </si>
  <si>
    <t>Right from the beginning MyACC for Business has been very customer-centric, whether it being through the use of personas, using human-centred design methods for how we design and deliver new features. Product Manager We don’t just collect feedback. Where someone has scored their experience poorly and makes a comment, that automatically opens a case file that goes to the operational or the digital teams to get in touch with the customer to fix it. This is a bit of a cultural change we are going through. We expect someone in the relevant team to contact the customer and fix the problem: ask them to tell us more about it. SRO Customer Insights and Experience</t>
  </si>
  <si>
    <t>Systematic data validation process to ensure that the human-centered process was consistent. Customer-centric from beginning. This shows a large amount of planning</t>
  </si>
  <si>
    <t>Customer-centric
Qualilty control
good project planning
Good communication</t>
  </si>
  <si>
    <t>I would definitely call out customer centricity and Kanban [an agile methodology] as … key to the success of the product [MyACC for Business]. Particularly that taking a human-centered approach to the design of the product, how we deliver features and prioritise our developments. We have customer touch points for features that are in production, but we also strive to involve the customer in the product development and delivery along the way as much as we can. Product Manager MyACC for Business</t>
  </si>
  <si>
    <t>Use of good methodology that will suits with the project. Continious customer involvement for quality control</t>
  </si>
  <si>
    <t>Customer-centric
good stakeholder management
good project planning
quality controls</t>
  </si>
  <si>
    <t>Huge amount of work on customer profiles. Everything that we have done on MyACC for Business has been insight-led. It is based on segmented customer profiles for example large businesses, SMEs, self-employed, and the agents and advisers as well who represent a lot of those businesses. SRO Digital and Channel Services Beginning to think in a service design way around its customers and the services. For example, around a levy and the services that ACC might deliver to its customers; and around the payment of the levy, what are all of the bits of ACC we have to line up to get there? Product Manager</t>
  </si>
  <si>
    <t>Seems that a lot of planning went to profile customers. Understanding need for particular customers. Emphatise with users.</t>
  </si>
  <si>
    <t>Customer-centric
good stakeholder management
good project planning</t>
  </si>
  <si>
    <t>You have to be very transparent about both success and failure. You have to communicate incredibly often. For me the communication plan was a weekly update from the product manager. Often in email form i.e. a short email update with a more detailed attachment. You also had monthly showcases of MyACC for Business where you can come and actually see the work live. We would have quarterly system demos where we would show how the whole thing would hang together. We would have multiple engagements with [other parts of the business]. You need to avoid people having any excuse for saying they don’t know what is going on. SRO Digital</t>
  </si>
  <si>
    <t>Seems like there was a lot of communication, good communication plan with weekly updated from product manager. Email, monthly showcases. This means peoples are accountables for what they do</t>
  </si>
  <si>
    <t>Good Project planning
Good communication
good stakeholder management
good quality control
Customer-centric
accountability</t>
  </si>
  <si>
    <t>Choosing technology is about choosing a platform that will enable you to be positioned as an outstanding performer in your field benchmarked internationally against like organizations not just NZ or public sector. Chief Operating Officer, ACC</t>
  </si>
  <si>
    <t>The choice of technology was wisely study to bring the most benefit to organisation.</t>
  </si>
  <si>
    <t>Technology research</t>
  </si>
  <si>
    <t>Technology</t>
  </si>
  <si>
    <t>So in working on that product, the most important shift for us was getting people to understand that this wasn’t a one off and done thing. The worst case scenario, for me, would be doing a product and letting it decay; a one off done and dusted thing; a project that once it is finished is left to decay over ten years and then you have to come back and spend another $10 million and do it all over again with another large project. Manager Digital Services The original rebuild began was what could be described as ‘lift and shift’ i.e. replacing the capability of the original ACC online, not without purpose or thought … we needed to replace the functions that existed before and alongside that it was also about migrating MyACC for Business to the Cloud. The corporate decision to move to the Cloud vastly enabled the delivery team to release on demand and release when ready and speed up delivery. Product Manager MyACC for Business Moving to the Cloud was among the ingredients that made MyACC for Business so successful. That happened around 2017. Product Owner MyACC for Business</t>
  </si>
  <si>
    <t>Continious development. Product keep evolving with time. It seems that they gather constant data and react to opportunity such as moving to the cloud to best suits their need. Constant planning</t>
  </si>
  <si>
    <t xml:space="preserve">Good Project planning
Good risk management
Good estimation
</t>
  </si>
  <si>
    <t>If we go back to some of the changes in behaviour and what was expected of our staff, you didn’t have to have [new] technology to drive that change. Technology is not going to change behaviour. What we did recognise is that if we were going to change behaviour than we absolutely needed to have an infrastructure that supported the behaviour change that needed to happen. ACC Chief Operating Officer</t>
  </si>
  <si>
    <t>Management seems to understand fundamental value for success and have identify key element to succeed</t>
  </si>
  <si>
    <t>Good Project planning
Good leadership decisions</t>
  </si>
  <si>
    <t>The adoption of agile methods in their digital services design for MyACC for Business enabled ACC to deliver progressive improvements to their business customer service delivery while needs and technology continued to evolve. They could remain flexible about the detail of what was most important to do next while remaining true to a vision of the future.</t>
  </si>
  <si>
    <t>N/A</t>
  </si>
  <si>
    <t>Good Project planning
Good requirement determination
good quality controls</t>
  </si>
  <si>
    <t xml:space="preserve">Process
</t>
  </si>
  <si>
    <t>ACC found it necessary to rethink their digital project governance. It has a corporate governance capability led by the business ‘owners’ and has developed structures and governance practices suited to agile development. It has adopted organizational processes that enable agility in the deployment of resources and adaptiveness to ongoing customer intelligence and feedback.</t>
  </si>
  <si>
    <t xml:space="preserve">Good Project planning
good quality controls
</t>
  </si>
  <si>
    <t>here is continuing evolution of organizational structures and processes to retain their fitness to new ways of working such as the adoption of agile development methods. The effectiveness of these is viewed from the governance, ownership and delivery arms of the organization.</t>
  </si>
  <si>
    <t xml:space="preserve">Good Project planning
Good accountability
</t>
  </si>
  <si>
    <t>ere is a strong focus on delivering measurable benefits to customers and the organization. The governance and delivery arms of the organization have these front of mind and review and refresh them in their quarterly and annual review processes enabled by the agile methodology.</t>
  </si>
  <si>
    <t xml:space="preserve">Good quality control
</t>
  </si>
  <si>
    <t>Process</t>
  </si>
  <si>
    <t>BCIS303 – Information Technology Governance Project One – Risk Assessment for Effective Governance of IT Deployment Tool</t>
  </si>
  <si>
    <t>Overall</t>
  </si>
  <si>
    <t>Q1</t>
  </si>
  <si>
    <t>Q2</t>
  </si>
  <si>
    <t>Q3</t>
  </si>
  <si>
    <t>Q4</t>
  </si>
  <si>
    <t>Q5</t>
  </si>
  <si>
    <t>Q6</t>
  </si>
  <si>
    <t>Q7</t>
  </si>
  <si>
    <t>Score</t>
  </si>
  <si>
    <t>Max Score</t>
  </si>
  <si>
    <t>Weighting</t>
  </si>
  <si>
    <t>Score percentage</t>
  </si>
  <si>
    <t>Chance of Failure</t>
  </si>
  <si>
    <t>Chance of Success</t>
  </si>
  <si>
    <t>Feedback</t>
  </si>
  <si>
    <t>People</t>
  </si>
  <si>
    <t>NA</t>
  </si>
  <si>
    <t>Product</t>
  </si>
  <si>
    <t>People-related</t>
  </si>
  <si>
    <t>How would you rate the project manager's level of experience in project management roles?</t>
  </si>
  <si>
    <t>Rating 1</t>
  </si>
  <si>
    <t>How would you rate the effectiveness of the teams communication methods?</t>
  </si>
  <si>
    <t>Rating 2</t>
  </si>
  <si>
    <t>How would you rate the robustness of the communication plan? (This includes communication with stakeholders (board, contractors, customers))</t>
  </si>
  <si>
    <t>Rating 3</t>
  </si>
  <si>
    <t>How would you rate the clarity of the projects leadership structure?</t>
  </si>
  <si>
    <t>Rating 4</t>
  </si>
  <si>
    <t xml:space="preserve">How would you rate the effectiveness of the projects method of managing stakeholder interactions and expectations? </t>
  </si>
  <si>
    <t>Rating 5</t>
  </si>
  <si>
    <t>How would you rate the control measures to ensure individual's perform consistency?</t>
  </si>
  <si>
    <t>Rating 6</t>
  </si>
  <si>
    <t>How would you rate the effectiveness of the projects decision making process? (Does is go through multiple people)</t>
  </si>
  <si>
    <t>Rating 7</t>
  </si>
  <si>
    <t>Process-related</t>
  </si>
  <si>
    <t xml:space="preserve">How would you rate the robustness of the scheduling and resources estimation for this project? </t>
  </si>
  <si>
    <t xml:space="preserve">Consider aspects such as: is the definition of the project clear? the experience of whom estimate the work? Are any assumptions documented? Are the estimation based on a project work breakdown structure with a low level of detail? </t>
  </si>
  <si>
    <t>None</t>
  </si>
  <si>
    <t>Low</t>
  </si>
  <si>
    <t>Medium</t>
  </si>
  <si>
    <t>High</t>
  </si>
  <si>
    <t>Very High</t>
  </si>
  <si>
    <t xml:space="preserve">How would you describe the effectiveness/completeness of the risks assessment strategy? </t>
  </si>
  <si>
    <t>Consider aspect such as: Does the project follows a risk assessment framework/template? The frequency of risk assessment, and is there any plan for monitoring and reviewing risks?</t>
  </si>
  <si>
    <t>How would you describe the depth/amount of the project planning you have done?</t>
  </si>
  <si>
    <t>Consider aspects such as: Is the scope entirely defined? Are responsibilities detailed? Is the management process identified?</t>
  </si>
  <si>
    <t xml:space="preserve"> How would you rate the process to monitor progress, review performance, and communicate with contractors?</t>
  </si>
  <si>
    <t>How would you rate the management controls for this project?</t>
  </si>
  <si>
    <t>Consider aspects such as: Risk management, change management, performance management. Is there any framework adopted? e.g. ITILv4</t>
  </si>
  <si>
    <t>How would you describe the completeness of the requirement processing solution for this project?</t>
  </si>
  <si>
    <t>Consider aspects such as: is there a requirement management process? Are stakeholders identified? Communication strategy? Is there a system to manage and control requirement change if necessary?</t>
  </si>
  <si>
    <t>How would you rate the range of consideration  and depth of the quality assurance plan?</t>
  </si>
  <si>
    <t>Consider aspects such as: Quality planning, Quality assurance and Quality Control.</t>
  </si>
  <si>
    <t>Technology-related</t>
  </si>
  <si>
    <t>How would you rate the teams level of experience with the technology being used to develop the solution?</t>
  </si>
  <si>
    <t>How would you rate the level of testing the tool has gone through to show that it will be effective in your solution? (be more specific)</t>
  </si>
  <si>
    <t>How high would you rate the likelihood of the project not shifting to a different technology during development in somehting went wrong?</t>
  </si>
  <si>
    <t>How would you rate the level to which the tool being used has been custom build for the purpose the team will use it for during development? (narrow down)</t>
  </si>
  <si>
    <t>Product-related</t>
  </si>
  <si>
    <t>How would you the depth and detail of the projects list of requirments?</t>
  </si>
  <si>
    <t>How would you rate the effectiveness on quality control process in place?</t>
  </si>
  <si>
    <t xml:space="preserve">Consider aspects such as: Methodology used to develop the product such as design thinking. The extend of the quality assurance plan, functional and usability testing. </t>
  </si>
  <si>
    <t>How would you rate the quality of the projects strategy of stopping scope creep?</t>
  </si>
  <si>
    <t>How would you rate the quality of the contingency plan set for the project if risks occur?</t>
  </si>
  <si>
    <t>Group of factor</t>
  </si>
  <si>
    <t>Themes/factors</t>
  </si>
  <si>
    <t>Occurrence QH</t>
  </si>
  <si>
    <t>Occurrence NOVOPAY</t>
  </si>
  <si>
    <t>Total</t>
  </si>
  <si>
    <t>Percent</t>
  </si>
  <si>
    <t>Undermined Motivation</t>
  </si>
  <si>
    <t>Ineffective stakeholder management</t>
  </si>
  <si>
    <t>Individual capabilities</t>
  </si>
  <si>
    <t>Ineffective Leadership</t>
  </si>
  <si>
    <t>Team lack of experience</t>
  </si>
  <si>
    <t>Poor management decisions</t>
  </si>
  <si>
    <t>Insufficient communication</t>
  </si>
  <si>
    <t>Lack of accountability</t>
  </si>
  <si>
    <t>Poor estimation and/or Scheduling</t>
  </si>
  <si>
    <t>Insufficient risk management</t>
  </si>
  <si>
    <t>Insufficient Planning</t>
  </si>
  <si>
    <t>Short-changed quality assurance</t>
  </si>
  <si>
    <t>Poor requirements determination</t>
  </si>
  <si>
    <t>Contractor failure</t>
  </si>
  <si>
    <t>Insufficient management controls</t>
  </si>
  <si>
    <t>Silver-bullet syndrome</t>
  </si>
  <si>
    <t>Overestimated savings from new tool</t>
  </si>
  <si>
    <t>Scope creep</t>
  </si>
  <si>
    <t>Product non-functional</t>
  </si>
  <si>
    <t>The strategic discovery, combined with thematic analysis of qualitative data helped:</t>
  </si>
  <si>
    <r>
      <t>·</t>
    </r>
    <r>
      <rPr>
        <sz val="7"/>
        <color theme="1"/>
        <rFont val="Times New Roman"/>
        <family val="1"/>
      </rPr>
      <t xml:space="preserve">         </t>
    </r>
    <r>
      <rPr>
        <sz val="11"/>
        <color theme="1"/>
        <rFont val="Calibri"/>
        <family val="2"/>
        <scheme val="minor"/>
      </rPr>
      <t>Gather data facts</t>
    </r>
  </si>
  <si>
    <r>
      <t>·</t>
    </r>
    <r>
      <rPr>
        <sz val="7"/>
        <color theme="1"/>
        <rFont val="Times New Roman"/>
        <family val="1"/>
      </rPr>
      <t xml:space="preserve">         </t>
    </r>
    <r>
      <rPr>
        <sz val="11"/>
        <color theme="1"/>
        <rFont val="Calibri"/>
        <family val="2"/>
        <scheme val="minor"/>
      </rPr>
      <t>Identify gaps based on the data facts</t>
    </r>
  </si>
  <si>
    <r>
      <t>·</t>
    </r>
    <r>
      <rPr>
        <sz val="7"/>
        <color theme="1"/>
        <rFont val="Times New Roman"/>
        <family val="1"/>
      </rPr>
      <t xml:space="preserve">         </t>
    </r>
    <r>
      <rPr>
        <sz val="11"/>
        <color theme="1"/>
        <rFont val="Calibri"/>
        <family val="2"/>
        <scheme val="minor"/>
      </rPr>
      <t>Create a solution based on identified gaps</t>
    </r>
  </si>
  <si>
    <t>The analysis of 2 resources on project failures inquiries showed:</t>
  </si>
  <si>
    <r>
      <t>1.</t>
    </r>
    <r>
      <rPr>
        <sz val="7"/>
        <color theme="1"/>
        <rFont val="Times New Roman"/>
        <family val="1"/>
      </rPr>
      <t xml:space="preserve">       </t>
    </r>
    <r>
      <rPr>
        <sz val="11"/>
        <color theme="1"/>
        <rFont val="Calibri"/>
        <family val="2"/>
        <scheme val="minor"/>
      </rPr>
      <t>Process related factors count for 57% of occurrences.</t>
    </r>
  </si>
  <si>
    <r>
      <t>2.</t>
    </r>
    <r>
      <rPr>
        <sz val="7"/>
        <color theme="1"/>
        <rFont val="Times New Roman"/>
        <family val="1"/>
      </rPr>
      <t xml:space="preserve">       </t>
    </r>
    <r>
      <rPr>
        <sz val="11"/>
        <color theme="1"/>
        <rFont val="Calibri"/>
        <family val="2"/>
        <scheme val="minor"/>
      </rPr>
      <t>People related factors count for 40% of occurrences.</t>
    </r>
  </si>
  <si>
    <r>
      <t>3.</t>
    </r>
    <r>
      <rPr>
        <sz val="7"/>
        <color theme="1"/>
        <rFont val="Times New Roman"/>
        <family val="1"/>
      </rPr>
      <t xml:space="preserve">       </t>
    </r>
    <r>
      <rPr>
        <sz val="11"/>
        <color theme="1"/>
        <rFont val="Calibri"/>
        <family val="2"/>
        <scheme val="minor"/>
      </rPr>
      <t>Product and Technology count the lower number of occurrences with respectively 2% and 1%.</t>
    </r>
  </si>
  <si>
    <t>The development of the proposed tool based on data facts collected during the thematic analysis ensures that the proposed solution is relevant to real-world IT projects.</t>
  </si>
  <si>
    <t xml:space="preserve">In this globalised world, post-pandemic, the IT industry is growing fast around the world. This means the number of It projects also increases consistently. </t>
  </si>
  <si>
    <t>Organisations must incorporate appropriate methods to provide successful project outcomes. This means using an appropriate evaluation tool to mitigate the risk of failures. Organisations must acknowledge potential risks and pain points for each project to avoid costly mistakes that may result in project failure.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</si>
</sst>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u/>
      <sz val="12"/>
      <color theme="1"/>
      <name val="Calibri"/>
      <family val="2"/>
      <scheme val="minor"/>
    </font>
    <font>
      <b/>
      <sz val="11"/>
      <color theme="1"/>
      <name val="Calibri"/>
      <family val="2"/>
      <scheme val="minor"/>
    </font>
    <font>
      <i/>
      <sz val="11"/>
      <color theme="1"/>
      <name val="Calibri"/>
      <family val="2"/>
      <scheme val="minor"/>
    </font>
    <font>
      <b/>
      <sz val="12"/>
      <color theme="1"/>
      <name val="Calibri"/>
      <family val="2"/>
      <scheme val="minor"/>
    </font>
    <font>
      <sz val="11"/>
      <color rgb="FFFF0000"/>
      <name val="Calibri"/>
      <family val="2"/>
      <scheme val="minor"/>
    </font>
    <font>
      <sz val="11"/>
      <color rgb="FF000000"/>
      <name val="Calibri"/>
      <family val="2"/>
      <scheme val="minor"/>
    </font>
    <font>
      <u/>
      <sz val="12"/>
      <color rgb="FF000000"/>
      <name val="Calibri"/>
      <family val="2"/>
      <scheme val="minor"/>
    </font>
    <font>
      <b/>
      <sz val="11"/>
      <color rgb="FF000000"/>
      <name val="Calibri"/>
      <family val="2"/>
      <scheme val="minor"/>
    </font>
    <font>
      <i/>
      <sz val="11"/>
      <color rgb="FF000000"/>
      <name val="Calibri"/>
      <family val="2"/>
      <scheme val="minor"/>
    </font>
    <font>
      <sz val="11"/>
      <color rgb="FF000000"/>
      <name val="Calibri"/>
      <family val="2"/>
    </font>
    <font>
      <b/>
      <sz val="14"/>
      <color rgb="FF000000"/>
      <name val="Calibri"/>
      <family val="2"/>
    </font>
    <font>
      <b/>
      <sz val="14"/>
      <color rgb="FFC65911"/>
      <name val="Calibri"/>
      <family val="2"/>
    </font>
    <font>
      <b/>
      <sz val="11"/>
      <color rgb="FF000000"/>
      <name val="Calibri"/>
      <family val="2"/>
    </font>
    <font>
      <sz val="11"/>
      <color rgb="FF444444"/>
      <name val="Calibri"/>
      <family val="2"/>
      <charset val="1"/>
    </font>
    <font>
      <sz val="11"/>
      <color theme="1"/>
      <name val="Calibri"/>
      <family val="2"/>
      <scheme val="minor"/>
    </font>
    <font>
      <sz val="11"/>
      <color theme="0"/>
      <name val="Calibri"/>
      <family val="2"/>
      <scheme val="minor"/>
    </font>
    <font>
      <sz val="11"/>
      <name val="Calibri"/>
      <family val="2"/>
      <scheme val="minor"/>
    </font>
    <font>
      <sz val="8"/>
      <name val="Calibri"/>
      <family val="2"/>
      <scheme val="minor"/>
    </font>
    <font>
      <b/>
      <sz val="11"/>
      <color theme="0"/>
      <name val="Calibri"/>
      <family val="2"/>
      <scheme val="minor"/>
    </font>
    <font>
      <sz val="14"/>
      <color theme="1"/>
      <name val="Calibri"/>
      <family val="2"/>
      <scheme val="minor"/>
    </font>
    <font>
      <sz val="20"/>
      <color theme="1"/>
      <name val="Arial Black"/>
      <family val="2"/>
    </font>
    <font>
      <u/>
      <sz val="12"/>
      <color theme="0"/>
      <name val="Calibri"/>
      <family val="2"/>
      <scheme val="minor"/>
    </font>
    <font>
      <sz val="11"/>
      <color theme="1"/>
      <name val="Symbol"/>
      <family val="1"/>
      <charset val="2"/>
    </font>
    <font>
      <sz val="7"/>
      <color theme="1"/>
      <name val="Times New Roman"/>
      <family val="1"/>
    </font>
  </fonts>
  <fills count="8">
    <fill>
      <patternFill patternType="none"/>
    </fill>
    <fill>
      <patternFill patternType="gray125"/>
    </fill>
    <fill>
      <patternFill patternType="solid">
        <fgColor theme="7" tint="0.59999389629810485"/>
        <bgColor indexed="64"/>
      </patternFill>
    </fill>
    <fill>
      <patternFill patternType="solid">
        <fgColor rgb="FFFFE699"/>
        <bgColor rgb="FF000000"/>
      </patternFill>
    </fill>
    <fill>
      <patternFill patternType="solid">
        <fgColor theme="4" tint="-0.249977111117893"/>
        <bgColor indexed="64"/>
      </patternFill>
    </fill>
    <fill>
      <patternFill patternType="solid">
        <fgColor theme="4" tint="0.39997558519241921"/>
        <bgColor indexed="64"/>
      </patternFill>
    </fill>
    <fill>
      <patternFill patternType="solid">
        <fgColor theme="0"/>
        <bgColor indexed="64"/>
      </patternFill>
    </fill>
    <fill>
      <patternFill patternType="solid">
        <fgColor theme="4" tint="0.79998168889431442"/>
        <bgColor indexed="64"/>
      </patternFill>
    </fill>
  </fills>
  <borders count="7">
    <border>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9" fontId="15" fillId="0" borderId="0" applyFont="0" applyFill="0" applyBorder="0" applyAlignment="0" applyProtection="0"/>
  </cellStyleXfs>
  <cellXfs count="48">
    <xf numFmtId="0" fontId="0" fillId="0" borderId="0" xfId="0"/>
    <xf numFmtId="0" fontId="1" fillId="0" borderId="0" xfId="0" applyFont="1"/>
    <xf numFmtId="0" fontId="2" fillId="0" borderId="0" xfId="0" applyFont="1"/>
    <xf numFmtId="0" fontId="3" fillId="0" borderId="0" xfId="0" applyFont="1"/>
    <xf numFmtId="0" fontId="4" fillId="0" borderId="0" xfId="0" applyFont="1"/>
    <xf numFmtId="0" fontId="5" fillId="0" borderId="0" xfId="0" applyFont="1"/>
    <xf numFmtId="0" fontId="7" fillId="0" borderId="0" xfId="0" applyFont="1"/>
    <xf numFmtId="0" fontId="6" fillId="0" borderId="0" xfId="0" applyFont="1"/>
    <xf numFmtId="0" fontId="8" fillId="0" borderId="0" xfId="0" applyFont="1"/>
    <xf numFmtId="0" fontId="2" fillId="2" borderId="0" xfId="0" applyFont="1" applyFill="1" applyAlignment="1">
      <alignment vertical="top" wrapText="1"/>
    </xf>
    <xf numFmtId="0" fontId="0" fillId="0" borderId="0" xfId="0" applyAlignment="1">
      <alignment wrapText="1"/>
    </xf>
    <xf numFmtId="0" fontId="10" fillId="0" borderId="0" xfId="0" applyFont="1"/>
    <xf numFmtId="0" fontId="11" fillId="0" borderId="0" xfId="0" applyFont="1"/>
    <xf numFmtId="0" fontId="12" fillId="0" borderId="0" xfId="0" applyFont="1"/>
    <xf numFmtId="0" fontId="10" fillId="0" borderId="1" xfId="0" applyFont="1" applyBorder="1"/>
    <xf numFmtId="0" fontId="10" fillId="0" borderId="2" xfId="0" applyFont="1" applyBorder="1"/>
    <xf numFmtId="0" fontId="13" fillId="0" borderId="0" xfId="0" applyFont="1"/>
    <xf numFmtId="0" fontId="13" fillId="3" borderId="0" xfId="0" applyFont="1" applyFill="1" applyAlignment="1">
      <alignment wrapText="1"/>
    </xf>
    <xf numFmtId="0" fontId="10" fillId="0" borderId="0" xfId="0" applyFont="1" applyAlignment="1">
      <alignment wrapText="1"/>
    </xf>
    <xf numFmtId="0" fontId="14" fillId="0" borderId="0" xfId="0" applyFont="1"/>
    <xf numFmtId="0" fontId="9" fillId="0" borderId="0" xfId="0" applyFont="1"/>
    <xf numFmtId="0" fontId="16" fillId="4" borderId="3" xfId="0" applyFont="1" applyFill="1" applyBorder="1"/>
    <xf numFmtId="0" fontId="16" fillId="4" borderId="3" xfId="0" applyFont="1" applyFill="1" applyBorder="1" applyAlignment="1">
      <alignment horizontal="center" vertical="center"/>
    </xf>
    <xf numFmtId="0" fontId="0" fillId="0" borderId="3" xfId="0" applyBorder="1"/>
    <xf numFmtId="0" fontId="17" fillId="5" borderId="3" xfId="0" applyFont="1" applyFill="1" applyBorder="1"/>
    <xf numFmtId="9" fontId="0" fillId="0" borderId="3" xfId="1" applyFont="1" applyBorder="1"/>
    <xf numFmtId="0" fontId="0" fillId="6" borderId="3" xfId="0" applyFill="1" applyBorder="1"/>
    <xf numFmtId="9" fontId="0" fillId="6" borderId="3" xfId="1" applyFont="1" applyFill="1" applyBorder="1"/>
    <xf numFmtId="0" fontId="0" fillId="7" borderId="3" xfId="0" applyFill="1" applyBorder="1" applyAlignment="1">
      <alignment horizontal="right"/>
    </xf>
    <xf numFmtId="0" fontId="0" fillId="7" borderId="3" xfId="0" applyFill="1" applyBorder="1"/>
    <xf numFmtId="0" fontId="17" fillId="0" borderId="0" xfId="0" applyFont="1"/>
    <xf numFmtId="0" fontId="21" fillId="0" borderId="0" xfId="0" applyFont="1"/>
    <xf numFmtId="0" fontId="20" fillId="0" borderId="0" xfId="0" applyFont="1"/>
    <xf numFmtId="0" fontId="0" fillId="0" borderId="3" xfId="0" applyBorder="1" applyAlignment="1">
      <alignment horizontal="center"/>
    </xf>
    <xf numFmtId="9" fontId="0" fillId="0" borderId="3" xfId="1" applyFont="1" applyFill="1" applyBorder="1" applyAlignment="1">
      <alignment horizontal="center"/>
    </xf>
    <xf numFmtId="9" fontId="0" fillId="0" borderId="3" xfId="1" applyFont="1" applyBorder="1" applyAlignment="1">
      <alignment horizontal="center"/>
    </xf>
    <xf numFmtId="2" fontId="0" fillId="0" borderId="3" xfId="1" applyNumberFormat="1" applyFont="1" applyBorder="1"/>
    <xf numFmtId="0" fontId="0" fillId="0" borderId="3" xfId="0" applyBorder="1" applyAlignment="1">
      <alignment horizontal="center" vertical="center"/>
    </xf>
    <xf numFmtId="0" fontId="4" fillId="5" borderId="3" xfId="0" applyFont="1" applyFill="1" applyBorder="1"/>
    <xf numFmtId="0" fontId="22" fillId="4" borderId="3" xfId="0" applyFont="1" applyFill="1" applyBorder="1"/>
    <xf numFmtId="0" fontId="19" fillId="4" borderId="3" xfId="0" applyFont="1" applyFill="1" applyBorder="1" applyAlignment="1">
      <alignment horizontal="center"/>
    </xf>
    <xf numFmtId="0" fontId="0" fillId="0" borderId="0" xfId="0" applyAlignment="1">
      <alignment vertical="center"/>
    </xf>
    <xf numFmtId="0" fontId="23" fillId="0" borderId="0" xfId="0" applyFont="1" applyAlignment="1">
      <alignment horizontal="left" vertical="center" indent="5"/>
    </xf>
    <xf numFmtId="0" fontId="0" fillId="0" borderId="0" xfId="0" applyAlignment="1">
      <alignment horizontal="left" vertical="center" indent="5"/>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0" fillId="5" borderId="6" xfId="0" applyFill="1" applyBorder="1" applyAlignment="1">
      <alignment horizontal="center" vertical="center"/>
    </xf>
    <xf numFmtId="0" fontId="0" fillId="5" borderId="3" xfId="0" applyFill="1" applyBorder="1" applyAlignment="1">
      <alignment horizontal="center" vertic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People</a:t>
            </a:r>
            <a:r>
              <a:rPr lang="en-US" baseline="0"/>
              <a:t> Themes Occurence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'[1]Analysis sheet'!$F$1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'[1]Analysis sheet'!$C$2:$C$9</c:f>
              <c:strCache>
                <c:ptCount val="8"/>
                <c:pt idx="0">
                  <c:v>Undermined Motivation</c:v>
                </c:pt>
                <c:pt idx="1">
                  <c:v>Ineffective stakeholder management</c:v>
                </c:pt>
                <c:pt idx="2">
                  <c:v>Individual capabilities</c:v>
                </c:pt>
                <c:pt idx="3">
                  <c:v>Ineffective Leadership</c:v>
                </c:pt>
                <c:pt idx="4">
                  <c:v>Team lack of experience</c:v>
                </c:pt>
                <c:pt idx="5">
                  <c:v>Poor management decisions</c:v>
                </c:pt>
                <c:pt idx="6">
                  <c:v>Insufficient communication</c:v>
                </c:pt>
                <c:pt idx="7">
                  <c:v>Lack of accountability</c:v>
                </c:pt>
              </c:strCache>
            </c:strRef>
          </c:cat>
          <c:val>
            <c:numRef>
              <c:f>'[1]Analysis sheet'!$F$2:$F$9</c:f>
              <c:numCache>
                <c:formatCode>General</c:formatCode>
                <c:ptCount val="8"/>
                <c:pt idx="0">
                  <c:v>5</c:v>
                </c:pt>
                <c:pt idx="1">
                  <c:v>20</c:v>
                </c:pt>
                <c:pt idx="2">
                  <c:v>6</c:v>
                </c:pt>
                <c:pt idx="3">
                  <c:v>16</c:v>
                </c:pt>
                <c:pt idx="4">
                  <c:v>7</c:v>
                </c:pt>
                <c:pt idx="5">
                  <c:v>29</c:v>
                </c:pt>
                <c:pt idx="6">
                  <c:v>32</c:v>
                </c:pt>
                <c:pt idx="7">
                  <c:v>8</c:v>
                </c:pt>
              </c:numCache>
            </c:numRef>
          </c:val>
          <c:extLst>
            <c:ext xmlns:c16="http://schemas.microsoft.com/office/drawing/2014/chart" uri="{C3380CC4-5D6E-409C-BE32-E72D297353CC}">
              <c16:uniqueId val="{00000000-ABD5-4CD0-8327-129EFD46A352}"/>
            </c:ext>
          </c:extLst>
        </c:ser>
        <c:dLbls>
          <c:dLblPos val="outEnd"/>
          <c:showLegendKey val="0"/>
          <c:showVal val="1"/>
          <c:showCatName val="0"/>
          <c:showSerName val="0"/>
          <c:showPercent val="0"/>
          <c:showBubbleSize val="0"/>
        </c:dLbls>
        <c:gapWidth val="182"/>
        <c:axId val="1460653551"/>
        <c:axId val="1460651471"/>
      </c:barChart>
      <c:catAx>
        <c:axId val="146065355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sz="1200"/>
                  <a:t>Theme/Factors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0651471"/>
        <c:crosses val="autoZero"/>
        <c:auto val="1"/>
        <c:lblAlgn val="ctr"/>
        <c:lblOffset val="100"/>
        <c:noMultiLvlLbl val="0"/>
      </c:catAx>
      <c:valAx>
        <c:axId val="1460651471"/>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sz="1200"/>
                  <a:t>Number of occurence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crossAx val="1460653551"/>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Process Themes Occurence </a:t>
            </a:r>
            <a:endParaRPr lang="en-NZ">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'[1]Analysis sheet'!$C$11:$C$17</c:f>
              <c:strCache>
                <c:ptCount val="7"/>
                <c:pt idx="0">
                  <c:v>Poor estimation and/or Scheduling</c:v>
                </c:pt>
                <c:pt idx="1">
                  <c:v>Insufficient risk management</c:v>
                </c:pt>
                <c:pt idx="2">
                  <c:v>Insufficient Planning</c:v>
                </c:pt>
                <c:pt idx="3">
                  <c:v>Short-changed quality assurance</c:v>
                </c:pt>
                <c:pt idx="4">
                  <c:v>Poor requirements determination</c:v>
                </c:pt>
                <c:pt idx="5">
                  <c:v>Contractor failure</c:v>
                </c:pt>
                <c:pt idx="6">
                  <c:v>Insufficient management controls</c:v>
                </c:pt>
              </c:strCache>
            </c:strRef>
          </c:cat>
          <c:val>
            <c:numRef>
              <c:f>'[1]Analysis sheet'!$F$11:$F$17</c:f>
              <c:numCache>
                <c:formatCode>General</c:formatCode>
                <c:ptCount val="7"/>
                <c:pt idx="0">
                  <c:v>11</c:v>
                </c:pt>
                <c:pt idx="1">
                  <c:v>20</c:v>
                </c:pt>
                <c:pt idx="2">
                  <c:v>66</c:v>
                </c:pt>
                <c:pt idx="3">
                  <c:v>3</c:v>
                </c:pt>
                <c:pt idx="4">
                  <c:v>22</c:v>
                </c:pt>
                <c:pt idx="5">
                  <c:v>7</c:v>
                </c:pt>
                <c:pt idx="6">
                  <c:v>46</c:v>
                </c:pt>
              </c:numCache>
            </c:numRef>
          </c:val>
          <c:extLst>
            <c:ext xmlns:c16="http://schemas.microsoft.com/office/drawing/2014/chart" uri="{C3380CC4-5D6E-409C-BE32-E72D297353CC}">
              <c16:uniqueId val="{00000000-3D52-498C-A9C4-2394FC570FA1}"/>
            </c:ext>
          </c:extLst>
        </c:ser>
        <c:dLbls>
          <c:dLblPos val="outEnd"/>
          <c:showLegendKey val="0"/>
          <c:showVal val="1"/>
          <c:showCatName val="0"/>
          <c:showSerName val="0"/>
          <c:showPercent val="0"/>
          <c:showBubbleSize val="0"/>
        </c:dLbls>
        <c:gapWidth val="182"/>
        <c:axId val="1469560351"/>
        <c:axId val="1469554527"/>
      </c:barChart>
      <c:catAx>
        <c:axId val="146956035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sz="1200" b="0" i="0" baseline="0">
                    <a:effectLst/>
                  </a:rPr>
                  <a:t>Theme/Factors</a:t>
                </a:r>
                <a:endParaRPr lang="en-NZ" sz="12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9554527"/>
        <c:crosses val="autoZero"/>
        <c:auto val="1"/>
        <c:lblAlgn val="ctr"/>
        <c:lblOffset val="100"/>
        <c:noMultiLvlLbl val="0"/>
      </c:catAx>
      <c:valAx>
        <c:axId val="1469554527"/>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sz="1200" b="0" i="0" baseline="0">
                    <a:effectLst/>
                  </a:rPr>
                  <a:t>Number of occurence</a:t>
                </a:r>
                <a:endParaRPr lang="en-NZ" sz="1200">
                  <a:effectLst/>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crossAx val="14695603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NZ"/>
              <a:t>Group Of Factors </a:t>
            </a:r>
            <a:r>
              <a:rPr lang="en-NZ" sz="1400" b="0" i="0" u="none" strike="noStrike" baseline="0">
                <a:effectLst/>
              </a:rPr>
              <a:t>Percentage</a:t>
            </a:r>
            <a:r>
              <a:rPr lang="en-NZ"/>
              <a:t> Occurence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3068961067366579"/>
          <c:y val="0.17171296296296298"/>
          <c:w val="0.40287467191601051"/>
          <c:h val="0.6714577865266842"/>
        </c:manualLayout>
      </c:layout>
      <c:pieChart>
        <c:varyColors val="1"/>
        <c:ser>
          <c:idx val="0"/>
          <c:order val="0"/>
          <c:tx>
            <c:strRef>
              <c:f>'[1]Analysis sheet'!$L$1</c:f>
              <c:strCache>
                <c:ptCount val="1"/>
                <c:pt idx="0">
                  <c:v>Percent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722-4202-B3BE-8514ECDE1B9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722-4202-B3BE-8514ECDE1B9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722-4202-B3BE-8514ECDE1B9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722-4202-B3BE-8514ECDE1B95}"/>
              </c:ext>
            </c:extLst>
          </c:dPt>
          <c:dLbls>
            <c:dLbl>
              <c:idx val="0"/>
              <c:layout>
                <c:manualLayout>
                  <c:x val="-0.11363238853319407"/>
                  <c:y val="4.889230951005618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722-4202-B3BE-8514ECDE1B95}"/>
                </c:ext>
              </c:extLst>
            </c:dLbl>
            <c:dLbl>
              <c:idx val="1"/>
              <c:layout>
                <c:manualLayout>
                  <c:x val="0.12596771430138501"/>
                  <c:y val="-6.3293926902273798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722-4202-B3BE-8514ECDE1B95}"/>
                </c:ext>
              </c:extLst>
            </c:dLbl>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'[1]Analysis sheet'!$J$2:$J$5</c:f>
              <c:strCache>
                <c:ptCount val="4"/>
                <c:pt idx="0">
                  <c:v>People</c:v>
                </c:pt>
                <c:pt idx="1">
                  <c:v>Process</c:v>
                </c:pt>
                <c:pt idx="2">
                  <c:v>Technology</c:v>
                </c:pt>
                <c:pt idx="3">
                  <c:v>Product</c:v>
                </c:pt>
              </c:strCache>
            </c:strRef>
          </c:cat>
          <c:val>
            <c:numRef>
              <c:f>'[1]Analysis sheet'!$L$2:$L$5</c:f>
              <c:numCache>
                <c:formatCode>General</c:formatCode>
                <c:ptCount val="4"/>
                <c:pt idx="0">
                  <c:v>0.40065146579804561</c:v>
                </c:pt>
                <c:pt idx="1">
                  <c:v>0.57003257328990231</c:v>
                </c:pt>
                <c:pt idx="2">
                  <c:v>1.3029315960912053E-2</c:v>
                </c:pt>
                <c:pt idx="3">
                  <c:v>1.6286644951140065E-2</c:v>
                </c:pt>
              </c:numCache>
            </c:numRef>
          </c:val>
          <c:extLst>
            <c:ext xmlns:c16="http://schemas.microsoft.com/office/drawing/2014/chart" uri="{C3380CC4-5D6E-409C-BE32-E72D297353CC}">
              <c16:uniqueId val="{00000008-2722-4202-B3BE-8514ECDE1B9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0</xdr:colOff>
          <xdr:row>11</xdr:row>
          <xdr:rowOff>28575</xdr:rowOff>
        </xdr:to>
        <xdr:sp macro="" textlink="">
          <xdr:nvSpPr>
            <xdr:cNvPr id="1068" name="Button1" hidden="1">
              <a:extLst>
                <a:ext uri="{63B3BB69-23CF-44E3-9099-C40C66FF867C}">
                  <a14:compatExt spid="_x0000_s1068"/>
                </a:ext>
                <a:ext uri="{FF2B5EF4-FFF2-40B4-BE49-F238E27FC236}">
                  <a16:creationId xmlns:a16="http://schemas.microsoft.com/office/drawing/2014/main" id="{00000000-0008-0000-0200-00002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600075</xdr:colOff>
          <xdr:row>9</xdr:row>
          <xdr:rowOff>171450</xdr:rowOff>
        </xdr:from>
        <xdr:to>
          <xdr:col>3</xdr:col>
          <xdr:colOff>47625</xdr:colOff>
          <xdr:row>11</xdr:row>
          <xdr:rowOff>28575</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200-00002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9</xdr:row>
          <xdr:rowOff>171450</xdr:rowOff>
        </xdr:from>
        <xdr:to>
          <xdr:col>4</xdr:col>
          <xdr:colOff>0</xdr:colOff>
          <xdr:row>11</xdr:row>
          <xdr:rowOff>19050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200-00002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171450</xdr:rowOff>
        </xdr:from>
        <xdr:to>
          <xdr:col>4</xdr:col>
          <xdr:colOff>600075</xdr:colOff>
          <xdr:row>11</xdr:row>
          <xdr:rowOff>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600075</xdr:colOff>
          <xdr:row>9</xdr:row>
          <xdr:rowOff>161925</xdr:rowOff>
        </xdr:from>
        <xdr:to>
          <xdr:col>6</xdr:col>
          <xdr:colOff>171450</xdr:colOff>
          <xdr:row>11</xdr:row>
          <xdr:rowOff>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200-00003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11</xdr:row>
          <xdr:rowOff>161925</xdr:rowOff>
        </xdr:from>
        <xdr:to>
          <xdr:col>3</xdr:col>
          <xdr:colOff>28575</xdr:colOff>
          <xdr:row>13</xdr:row>
          <xdr:rowOff>28575</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200-00003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171450</xdr:rowOff>
        </xdr:from>
        <xdr:to>
          <xdr:col>4</xdr:col>
          <xdr:colOff>0</xdr:colOff>
          <xdr:row>13</xdr:row>
          <xdr:rowOff>28575</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200-00003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11</xdr:row>
          <xdr:rowOff>180975</xdr:rowOff>
        </xdr:from>
        <xdr:to>
          <xdr:col>5</xdr:col>
          <xdr:colOff>57150</xdr:colOff>
          <xdr:row>13</xdr:row>
          <xdr:rowOff>38100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200-00003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11</xdr:row>
          <xdr:rowOff>171450</xdr:rowOff>
        </xdr:from>
        <xdr:to>
          <xdr:col>6</xdr:col>
          <xdr:colOff>200025</xdr:colOff>
          <xdr:row>13</xdr:row>
          <xdr:rowOff>19050</xdr:rowOff>
        </xdr:to>
        <xdr:sp macro="" textlink="">
          <xdr:nvSpPr>
            <xdr:cNvPr id="1077" name="Button 53" hidden="1">
              <a:extLst>
                <a:ext uri="{63B3BB69-23CF-44E3-9099-C40C66FF867C}">
                  <a14:compatExt spid="_x0000_s1077"/>
                </a:ext>
                <a:ext uri="{FF2B5EF4-FFF2-40B4-BE49-F238E27FC236}">
                  <a16:creationId xmlns:a16="http://schemas.microsoft.com/office/drawing/2014/main" id="{00000000-0008-0000-0200-00003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885825</xdr:colOff>
          <xdr:row>13</xdr:row>
          <xdr:rowOff>180975</xdr:rowOff>
        </xdr:from>
        <xdr:to>
          <xdr:col>1</xdr:col>
          <xdr:colOff>600075</xdr:colOff>
          <xdr:row>15</xdr:row>
          <xdr:rowOff>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200-00003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600075</xdr:colOff>
          <xdr:row>13</xdr:row>
          <xdr:rowOff>180975</xdr:rowOff>
        </xdr:from>
        <xdr:to>
          <xdr:col>3</xdr:col>
          <xdr:colOff>9525</xdr:colOff>
          <xdr:row>15</xdr:row>
          <xdr:rowOff>9525</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200-00003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13</xdr:row>
          <xdr:rowOff>180975</xdr:rowOff>
        </xdr:from>
        <xdr:to>
          <xdr:col>4</xdr:col>
          <xdr:colOff>0</xdr:colOff>
          <xdr:row>15</xdr:row>
          <xdr:rowOff>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200-00003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13</xdr:row>
          <xdr:rowOff>180975</xdr:rowOff>
        </xdr:from>
        <xdr:to>
          <xdr:col>5</xdr:col>
          <xdr:colOff>38100</xdr:colOff>
          <xdr:row>15</xdr:row>
          <xdr:rowOff>9525</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200-00003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13</xdr:row>
          <xdr:rowOff>180975</xdr:rowOff>
        </xdr:from>
        <xdr:to>
          <xdr:col>6</xdr:col>
          <xdr:colOff>200025</xdr:colOff>
          <xdr:row>14</xdr:row>
          <xdr:rowOff>180975</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200-00003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0</xdr:rowOff>
        </xdr:from>
        <xdr:to>
          <xdr:col>3</xdr:col>
          <xdr:colOff>9525</xdr:colOff>
          <xdr:row>17</xdr:row>
          <xdr:rowOff>28575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15</xdr:row>
          <xdr:rowOff>180975</xdr:rowOff>
        </xdr:from>
        <xdr:to>
          <xdr:col>4</xdr:col>
          <xdr:colOff>0</xdr:colOff>
          <xdr:row>17</xdr:row>
          <xdr:rowOff>28575</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200-00003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0</xdr:rowOff>
        </xdr:from>
        <xdr:to>
          <xdr:col>5</xdr:col>
          <xdr:colOff>28575</xdr:colOff>
          <xdr:row>17</xdr:row>
          <xdr:rowOff>28575</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200-00003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15</xdr:row>
          <xdr:rowOff>180975</xdr:rowOff>
        </xdr:from>
        <xdr:to>
          <xdr:col>6</xdr:col>
          <xdr:colOff>190500</xdr:colOff>
          <xdr:row>17</xdr:row>
          <xdr:rowOff>28575</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200-00003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866775</xdr:colOff>
          <xdr:row>27</xdr:row>
          <xdr:rowOff>0</xdr:rowOff>
        </xdr:from>
        <xdr:to>
          <xdr:col>1</xdr:col>
          <xdr:colOff>590550</xdr:colOff>
          <xdr:row>28</xdr:row>
          <xdr:rowOff>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200-00004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171450</xdr:rowOff>
        </xdr:from>
        <xdr:to>
          <xdr:col>3</xdr:col>
          <xdr:colOff>0</xdr:colOff>
          <xdr:row>28</xdr:row>
          <xdr:rowOff>9525</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200-00004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26</xdr:row>
          <xdr:rowOff>161925</xdr:rowOff>
        </xdr:from>
        <xdr:to>
          <xdr:col>3</xdr:col>
          <xdr:colOff>619125</xdr:colOff>
          <xdr:row>28</xdr:row>
          <xdr:rowOff>9525</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200-00004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180975</xdr:rowOff>
        </xdr:from>
        <xdr:to>
          <xdr:col>5</xdr:col>
          <xdr:colOff>0</xdr:colOff>
          <xdr:row>28</xdr:row>
          <xdr:rowOff>19050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200-00004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26</xdr:row>
          <xdr:rowOff>171450</xdr:rowOff>
        </xdr:from>
        <xdr:to>
          <xdr:col>6</xdr:col>
          <xdr:colOff>161925</xdr:colOff>
          <xdr:row>28</xdr:row>
          <xdr:rowOff>19050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200-00004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866775</xdr:colOff>
          <xdr:row>30</xdr:row>
          <xdr:rowOff>0</xdr:rowOff>
        </xdr:from>
        <xdr:to>
          <xdr:col>1</xdr:col>
          <xdr:colOff>590550</xdr:colOff>
          <xdr:row>31</xdr:row>
          <xdr:rowOff>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200-00004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29</xdr:row>
          <xdr:rowOff>171450</xdr:rowOff>
        </xdr:from>
        <xdr:to>
          <xdr:col>3</xdr:col>
          <xdr:colOff>0</xdr:colOff>
          <xdr:row>31</xdr:row>
          <xdr:rowOff>9525</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200-00004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29</xdr:row>
          <xdr:rowOff>161925</xdr:rowOff>
        </xdr:from>
        <xdr:to>
          <xdr:col>3</xdr:col>
          <xdr:colOff>619125</xdr:colOff>
          <xdr:row>31</xdr:row>
          <xdr:rowOff>9525</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200-00004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180975</xdr:rowOff>
        </xdr:from>
        <xdr:to>
          <xdr:col>5</xdr:col>
          <xdr:colOff>0</xdr:colOff>
          <xdr:row>31</xdr:row>
          <xdr:rowOff>19050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200-00004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29</xdr:row>
          <xdr:rowOff>171450</xdr:rowOff>
        </xdr:from>
        <xdr:to>
          <xdr:col>6</xdr:col>
          <xdr:colOff>161925</xdr:colOff>
          <xdr:row>31</xdr:row>
          <xdr:rowOff>19050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200-00004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876300</xdr:colOff>
          <xdr:row>33</xdr:row>
          <xdr:rowOff>9525</xdr:rowOff>
        </xdr:from>
        <xdr:to>
          <xdr:col>1</xdr:col>
          <xdr:colOff>600075</xdr:colOff>
          <xdr:row>34</xdr:row>
          <xdr:rowOff>9525</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200-00004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32</xdr:row>
          <xdr:rowOff>180975</xdr:rowOff>
        </xdr:from>
        <xdr:to>
          <xdr:col>3</xdr:col>
          <xdr:colOff>9525</xdr:colOff>
          <xdr:row>34</xdr:row>
          <xdr:rowOff>19050</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200-00004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32</xdr:row>
          <xdr:rowOff>171450</xdr:rowOff>
        </xdr:from>
        <xdr:to>
          <xdr:col>4</xdr:col>
          <xdr:colOff>0</xdr:colOff>
          <xdr:row>34</xdr:row>
          <xdr:rowOff>19050</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200-00005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33</xdr:row>
          <xdr:rowOff>0</xdr:rowOff>
        </xdr:from>
        <xdr:to>
          <xdr:col>5</xdr:col>
          <xdr:colOff>9525</xdr:colOff>
          <xdr:row>34</xdr:row>
          <xdr:rowOff>28575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2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32</xdr:row>
          <xdr:rowOff>180975</xdr:rowOff>
        </xdr:from>
        <xdr:to>
          <xdr:col>6</xdr:col>
          <xdr:colOff>171450</xdr:colOff>
          <xdr:row>34</xdr:row>
          <xdr:rowOff>28575</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200-00005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35</xdr:row>
          <xdr:rowOff>0</xdr:rowOff>
        </xdr:from>
        <xdr:to>
          <xdr:col>1</xdr:col>
          <xdr:colOff>571500</xdr:colOff>
          <xdr:row>36</xdr:row>
          <xdr:rowOff>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200-00005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34</xdr:row>
          <xdr:rowOff>171450</xdr:rowOff>
        </xdr:from>
        <xdr:to>
          <xdr:col>2</xdr:col>
          <xdr:colOff>590550</xdr:colOff>
          <xdr:row>36</xdr:row>
          <xdr:rowOff>9525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2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161925</xdr:rowOff>
        </xdr:from>
        <xdr:to>
          <xdr:col>3</xdr:col>
          <xdr:colOff>600075</xdr:colOff>
          <xdr:row>36</xdr:row>
          <xdr:rowOff>9525</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200-00005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34</xdr:row>
          <xdr:rowOff>180975</xdr:rowOff>
        </xdr:from>
        <xdr:to>
          <xdr:col>4</xdr:col>
          <xdr:colOff>590550</xdr:colOff>
          <xdr:row>36</xdr:row>
          <xdr:rowOff>19050</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200-00005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609600</xdr:colOff>
          <xdr:row>34</xdr:row>
          <xdr:rowOff>171450</xdr:rowOff>
        </xdr:from>
        <xdr:to>
          <xdr:col>6</xdr:col>
          <xdr:colOff>142875</xdr:colOff>
          <xdr:row>36</xdr:row>
          <xdr:rowOff>19050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200-00005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857250</xdr:colOff>
          <xdr:row>38</xdr:row>
          <xdr:rowOff>0</xdr:rowOff>
        </xdr:from>
        <xdr:to>
          <xdr:col>1</xdr:col>
          <xdr:colOff>581025</xdr:colOff>
          <xdr:row>39</xdr:row>
          <xdr:rowOff>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200-00005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600075</xdr:colOff>
          <xdr:row>37</xdr:row>
          <xdr:rowOff>171450</xdr:rowOff>
        </xdr:from>
        <xdr:to>
          <xdr:col>2</xdr:col>
          <xdr:colOff>600075</xdr:colOff>
          <xdr:row>39</xdr:row>
          <xdr:rowOff>9525</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200-00005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37</xdr:row>
          <xdr:rowOff>161925</xdr:rowOff>
        </xdr:from>
        <xdr:to>
          <xdr:col>3</xdr:col>
          <xdr:colOff>609600</xdr:colOff>
          <xdr:row>39</xdr:row>
          <xdr:rowOff>9525</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200-00005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37</xdr:row>
          <xdr:rowOff>180975</xdr:rowOff>
        </xdr:from>
        <xdr:to>
          <xdr:col>4</xdr:col>
          <xdr:colOff>600075</xdr:colOff>
          <xdr:row>39</xdr:row>
          <xdr:rowOff>19050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200-00005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37</xdr:row>
          <xdr:rowOff>171450</xdr:rowOff>
        </xdr:from>
        <xdr:to>
          <xdr:col>6</xdr:col>
          <xdr:colOff>152400</xdr:colOff>
          <xdr:row>39</xdr:row>
          <xdr:rowOff>19050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200-00005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876300</xdr:colOff>
          <xdr:row>40</xdr:row>
          <xdr:rowOff>180975</xdr:rowOff>
        </xdr:from>
        <xdr:to>
          <xdr:col>1</xdr:col>
          <xdr:colOff>600075</xdr:colOff>
          <xdr:row>42</xdr:row>
          <xdr:rowOff>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200-00005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40</xdr:row>
          <xdr:rowOff>161925</xdr:rowOff>
        </xdr:from>
        <xdr:to>
          <xdr:col>3</xdr:col>
          <xdr:colOff>9525</xdr:colOff>
          <xdr:row>42</xdr:row>
          <xdr:rowOff>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200-00005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40</xdr:row>
          <xdr:rowOff>152400</xdr:rowOff>
        </xdr:from>
        <xdr:to>
          <xdr:col>4</xdr:col>
          <xdr:colOff>0</xdr:colOff>
          <xdr:row>42</xdr:row>
          <xdr:rowOff>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200-00005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40</xdr:row>
          <xdr:rowOff>171450</xdr:rowOff>
        </xdr:from>
        <xdr:to>
          <xdr:col>5</xdr:col>
          <xdr:colOff>9525</xdr:colOff>
          <xdr:row>42</xdr:row>
          <xdr:rowOff>9525</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200-00006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40</xdr:row>
          <xdr:rowOff>161925</xdr:rowOff>
        </xdr:from>
        <xdr:to>
          <xdr:col>6</xdr:col>
          <xdr:colOff>171450</xdr:colOff>
          <xdr:row>42</xdr:row>
          <xdr:rowOff>9525</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200-00006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838200</xdr:colOff>
          <xdr:row>43</xdr:row>
          <xdr:rowOff>180975</xdr:rowOff>
        </xdr:from>
        <xdr:to>
          <xdr:col>1</xdr:col>
          <xdr:colOff>561975</xdr:colOff>
          <xdr:row>45</xdr:row>
          <xdr:rowOff>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200-00006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43</xdr:row>
          <xdr:rowOff>161925</xdr:rowOff>
        </xdr:from>
        <xdr:to>
          <xdr:col>2</xdr:col>
          <xdr:colOff>581025</xdr:colOff>
          <xdr:row>45</xdr:row>
          <xdr:rowOff>0</xdr:rowOff>
        </xdr:to>
        <xdr:sp macro="" textlink="">
          <xdr:nvSpPr>
            <xdr:cNvPr id="1123" name="Button 99" hidden="1">
              <a:extLst>
                <a:ext uri="{63B3BB69-23CF-44E3-9099-C40C66FF867C}">
                  <a14:compatExt spid="_x0000_s1123"/>
                </a:ext>
                <a:ext uri="{FF2B5EF4-FFF2-40B4-BE49-F238E27FC236}">
                  <a16:creationId xmlns:a16="http://schemas.microsoft.com/office/drawing/2014/main" id="{00000000-0008-0000-0200-00006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43</xdr:row>
          <xdr:rowOff>152400</xdr:rowOff>
        </xdr:from>
        <xdr:to>
          <xdr:col>3</xdr:col>
          <xdr:colOff>590550</xdr:colOff>
          <xdr:row>45</xdr:row>
          <xdr:rowOff>0</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200-00006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43</xdr:row>
          <xdr:rowOff>171450</xdr:rowOff>
        </xdr:from>
        <xdr:to>
          <xdr:col>4</xdr:col>
          <xdr:colOff>581025</xdr:colOff>
          <xdr:row>45</xdr:row>
          <xdr:rowOff>9525</xdr:rowOff>
        </xdr:to>
        <xdr:sp macro="" textlink="">
          <xdr:nvSpPr>
            <xdr:cNvPr id="1125" name="Button 101" hidden="1">
              <a:extLst>
                <a:ext uri="{63B3BB69-23CF-44E3-9099-C40C66FF867C}">
                  <a14:compatExt spid="_x0000_s1125"/>
                </a:ext>
                <a:ext uri="{FF2B5EF4-FFF2-40B4-BE49-F238E27FC236}">
                  <a16:creationId xmlns:a16="http://schemas.microsoft.com/office/drawing/2014/main" id="{00000000-0008-0000-0200-00006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600075</xdr:colOff>
          <xdr:row>43</xdr:row>
          <xdr:rowOff>161925</xdr:rowOff>
        </xdr:from>
        <xdr:to>
          <xdr:col>5</xdr:col>
          <xdr:colOff>600075</xdr:colOff>
          <xdr:row>45</xdr:row>
          <xdr:rowOff>19050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200-00006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48</xdr:row>
          <xdr:rowOff>0</xdr:rowOff>
        </xdr:from>
        <xdr:to>
          <xdr:col>1</xdr:col>
          <xdr:colOff>571500</xdr:colOff>
          <xdr:row>49</xdr:row>
          <xdr:rowOff>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200-00006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47</xdr:row>
          <xdr:rowOff>171450</xdr:rowOff>
        </xdr:from>
        <xdr:to>
          <xdr:col>2</xdr:col>
          <xdr:colOff>590550</xdr:colOff>
          <xdr:row>49</xdr:row>
          <xdr:rowOff>9525</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200-00006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161925</xdr:rowOff>
        </xdr:from>
        <xdr:to>
          <xdr:col>3</xdr:col>
          <xdr:colOff>600075</xdr:colOff>
          <xdr:row>49</xdr:row>
          <xdr:rowOff>9525</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200-00006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47</xdr:row>
          <xdr:rowOff>180975</xdr:rowOff>
        </xdr:from>
        <xdr:to>
          <xdr:col>4</xdr:col>
          <xdr:colOff>590550</xdr:colOff>
          <xdr:row>49</xdr:row>
          <xdr:rowOff>19050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200-00006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609600</xdr:colOff>
          <xdr:row>47</xdr:row>
          <xdr:rowOff>171450</xdr:rowOff>
        </xdr:from>
        <xdr:to>
          <xdr:col>6</xdr:col>
          <xdr:colOff>142875</xdr:colOff>
          <xdr:row>49</xdr:row>
          <xdr:rowOff>19050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2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876300</xdr:colOff>
          <xdr:row>50</xdr:row>
          <xdr:rowOff>0</xdr:rowOff>
        </xdr:from>
        <xdr:to>
          <xdr:col>1</xdr:col>
          <xdr:colOff>600075</xdr:colOff>
          <xdr:row>51</xdr:row>
          <xdr:rowOff>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49</xdr:row>
          <xdr:rowOff>171450</xdr:rowOff>
        </xdr:from>
        <xdr:to>
          <xdr:col>3</xdr:col>
          <xdr:colOff>9525</xdr:colOff>
          <xdr:row>51</xdr:row>
          <xdr:rowOff>9525</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200-00006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49</xdr:row>
          <xdr:rowOff>161925</xdr:rowOff>
        </xdr:from>
        <xdr:to>
          <xdr:col>4</xdr:col>
          <xdr:colOff>0</xdr:colOff>
          <xdr:row>51</xdr:row>
          <xdr:rowOff>9525</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200-00006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49</xdr:row>
          <xdr:rowOff>180975</xdr:rowOff>
        </xdr:from>
        <xdr:to>
          <xdr:col>5</xdr:col>
          <xdr:colOff>9525</xdr:colOff>
          <xdr:row>51</xdr:row>
          <xdr:rowOff>19050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2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49</xdr:row>
          <xdr:rowOff>171450</xdr:rowOff>
        </xdr:from>
        <xdr:to>
          <xdr:col>6</xdr:col>
          <xdr:colOff>171450</xdr:colOff>
          <xdr:row>51</xdr:row>
          <xdr:rowOff>19050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2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2</xdr:col>
          <xdr:colOff>0</xdr:colOff>
          <xdr:row>53</xdr:row>
          <xdr:rowOff>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2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51</xdr:row>
          <xdr:rowOff>171450</xdr:rowOff>
        </xdr:from>
        <xdr:to>
          <xdr:col>3</xdr:col>
          <xdr:colOff>19050</xdr:colOff>
          <xdr:row>53</xdr:row>
          <xdr:rowOff>9525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2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51</xdr:row>
          <xdr:rowOff>161925</xdr:rowOff>
        </xdr:from>
        <xdr:to>
          <xdr:col>4</xdr:col>
          <xdr:colOff>9525</xdr:colOff>
          <xdr:row>53</xdr:row>
          <xdr:rowOff>9525</xdr:rowOff>
        </xdr:to>
        <xdr:sp macro="" textlink="">
          <xdr:nvSpPr>
            <xdr:cNvPr id="1139" name="Button 115" hidden="1">
              <a:extLst>
                <a:ext uri="{63B3BB69-23CF-44E3-9099-C40C66FF867C}">
                  <a14:compatExt spid="_x0000_s1139"/>
                </a:ext>
                <a:ext uri="{FF2B5EF4-FFF2-40B4-BE49-F238E27FC236}">
                  <a16:creationId xmlns:a16="http://schemas.microsoft.com/office/drawing/2014/main" id="{00000000-0008-0000-0200-00007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51</xdr:row>
          <xdr:rowOff>180975</xdr:rowOff>
        </xdr:from>
        <xdr:to>
          <xdr:col>5</xdr:col>
          <xdr:colOff>19050</xdr:colOff>
          <xdr:row>53</xdr:row>
          <xdr:rowOff>19050</xdr:rowOff>
        </xdr:to>
        <xdr:sp macro="" textlink="">
          <xdr:nvSpPr>
            <xdr:cNvPr id="1140" name="Button 116" hidden="1">
              <a:extLst>
                <a:ext uri="{63B3BB69-23CF-44E3-9099-C40C66FF867C}">
                  <a14:compatExt spid="_x0000_s1140"/>
                </a:ext>
                <a:ext uri="{FF2B5EF4-FFF2-40B4-BE49-F238E27FC236}">
                  <a16:creationId xmlns:a16="http://schemas.microsoft.com/office/drawing/2014/main" id="{00000000-0008-0000-0200-00007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51</xdr:row>
          <xdr:rowOff>171450</xdr:rowOff>
        </xdr:from>
        <xdr:to>
          <xdr:col>6</xdr:col>
          <xdr:colOff>180975</xdr:colOff>
          <xdr:row>53</xdr:row>
          <xdr:rowOff>19050</xdr:rowOff>
        </xdr:to>
        <xdr:sp macro="" textlink="">
          <xdr:nvSpPr>
            <xdr:cNvPr id="1141" name="Button 117" hidden="1">
              <a:extLst>
                <a:ext uri="{63B3BB69-23CF-44E3-9099-C40C66FF867C}">
                  <a14:compatExt spid="_x0000_s1141"/>
                </a:ext>
                <a:ext uri="{FF2B5EF4-FFF2-40B4-BE49-F238E27FC236}">
                  <a16:creationId xmlns:a16="http://schemas.microsoft.com/office/drawing/2014/main" id="{00000000-0008-0000-0200-00007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54</xdr:row>
          <xdr:rowOff>9525</xdr:rowOff>
        </xdr:from>
        <xdr:to>
          <xdr:col>2</xdr:col>
          <xdr:colOff>9525</xdr:colOff>
          <xdr:row>55</xdr:row>
          <xdr:rowOff>9525</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200-00007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53</xdr:row>
          <xdr:rowOff>180975</xdr:rowOff>
        </xdr:from>
        <xdr:to>
          <xdr:col>3</xdr:col>
          <xdr:colOff>28575</xdr:colOff>
          <xdr:row>55</xdr:row>
          <xdr:rowOff>19050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200-00007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53</xdr:row>
          <xdr:rowOff>171450</xdr:rowOff>
        </xdr:from>
        <xdr:to>
          <xdr:col>4</xdr:col>
          <xdr:colOff>19050</xdr:colOff>
          <xdr:row>55</xdr:row>
          <xdr:rowOff>19050</xdr:rowOff>
        </xdr:to>
        <xdr:sp macro="" textlink="">
          <xdr:nvSpPr>
            <xdr:cNvPr id="1144" name="Button 120" hidden="1">
              <a:extLst>
                <a:ext uri="{63B3BB69-23CF-44E3-9099-C40C66FF867C}">
                  <a14:compatExt spid="_x0000_s1144"/>
                </a:ext>
                <a:ext uri="{FF2B5EF4-FFF2-40B4-BE49-F238E27FC236}">
                  <a16:creationId xmlns:a16="http://schemas.microsoft.com/office/drawing/2014/main" id="{00000000-0008-0000-0200-00007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0</xdr:rowOff>
        </xdr:from>
        <xdr:to>
          <xdr:col>5</xdr:col>
          <xdr:colOff>28575</xdr:colOff>
          <xdr:row>55</xdr:row>
          <xdr:rowOff>28575</xdr:rowOff>
        </xdr:to>
        <xdr:sp macro="" textlink="">
          <xdr:nvSpPr>
            <xdr:cNvPr id="1145" name="Button 121" hidden="1">
              <a:extLst>
                <a:ext uri="{63B3BB69-23CF-44E3-9099-C40C66FF867C}">
                  <a14:compatExt spid="_x0000_s1145"/>
                </a:ext>
                <a:ext uri="{FF2B5EF4-FFF2-40B4-BE49-F238E27FC236}">
                  <a16:creationId xmlns:a16="http://schemas.microsoft.com/office/drawing/2014/main" id="{00000000-0008-0000-0200-00007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53</xdr:row>
          <xdr:rowOff>180975</xdr:rowOff>
        </xdr:from>
        <xdr:to>
          <xdr:col>6</xdr:col>
          <xdr:colOff>190500</xdr:colOff>
          <xdr:row>55</xdr:row>
          <xdr:rowOff>28575</xdr:rowOff>
        </xdr:to>
        <xdr:sp macro="" textlink="">
          <xdr:nvSpPr>
            <xdr:cNvPr id="1146" name="Button 122" hidden="1">
              <a:extLst>
                <a:ext uri="{63B3BB69-23CF-44E3-9099-C40C66FF867C}">
                  <a14:compatExt spid="_x0000_s1146"/>
                </a:ext>
                <a:ext uri="{FF2B5EF4-FFF2-40B4-BE49-F238E27FC236}">
                  <a16:creationId xmlns:a16="http://schemas.microsoft.com/office/drawing/2014/main" id="{00000000-0008-0000-0200-00007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866775</xdr:colOff>
          <xdr:row>57</xdr:row>
          <xdr:rowOff>180975</xdr:rowOff>
        </xdr:from>
        <xdr:to>
          <xdr:col>1</xdr:col>
          <xdr:colOff>590550</xdr:colOff>
          <xdr:row>59</xdr:row>
          <xdr:rowOff>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200-00007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57</xdr:row>
          <xdr:rowOff>161925</xdr:rowOff>
        </xdr:from>
        <xdr:to>
          <xdr:col>3</xdr:col>
          <xdr:colOff>0</xdr:colOff>
          <xdr:row>59</xdr:row>
          <xdr:rowOff>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200-00007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57</xdr:row>
          <xdr:rowOff>152400</xdr:rowOff>
        </xdr:from>
        <xdr:to>
          <xdr:col>3</xdr:col>
          <xdr:colOff>619125</xdr:colOff>
          <xdr:row>59</xdr:row>
          <xdr:rowOff>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200-00007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171450</xdr:rowOff>
        </xdr:from>
        <xdr:to>
          <xdr:col>5</xdr:col>
          <xdr:colOff>0</xdr:colOff>
          <xdr:row>59</xdr:row>
          <xdr:rowOff>9525</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200-00007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57</xdr:row>
          <xdr:rowOff>161925</xdr:rowOff>
        </xdr:from>
        <xdr:to>
          <xdr:col>6</xdr:col>
          <xdr:colOff>161925</xdr:colOff>
          <xdr:row>59</xdr:row>
          <xdr:rowOff>9525</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200-00007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866775</xdr:colOff>
          <xdr:row>61</xdr:row>
          <xdr:rowOff>9525</xdr:rowOff>
        </xdr:from>
        <xdr:to>
          <xdr:col>1</xdr:col>
          <xdr:colOff>590550</xdr:colOff>
          <xdr:row>62</xdr:row>
          <xdr:rowOff>9525</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200-00008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60</xdr:row>
          <xdr:rowOff>180975</xdr:rowOff>
        </xdr:from>
        <xdr:to>
          <xdr:col>3</xdr:col>
          <xdr:colOff>0</xdr:colOff>
          <xdr:row>62</xdr:row>
          <xdr:rowOff>19050</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200-00008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60</xdr:row>
          <xdr:rowOff>171450</xdr:rowOff>
        </xdr:from>
        <xdr:to>
          <xdr:col>3</xdr:col>
          <xdr:colOff>619125</xdr:colOff>
          <xdr:row>62</xdr:row>
          <xdr:rowOff>19050</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200-00008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5</xdr:col>
          <xdr:colOff>0</xdr:colOff>
          <xdr:row>62</xdr:row>
          <xdr:rowOff>28575</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200-00008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60</xdr:row>
          <xdr:rowOff>180975</xdr:rowOff>
        </xdr:from>
        <xdr:to>
          <xdr:col>6</xdr:col>
          <xdr:colOff>161925</xdr:colOff>
          <xdr:row>62</xdr:row>
          <xdr:rowOff>28575</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200-00008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866775</xdr:colOff>
          <xdr:row>63</xdr:row>
          <xdr:rowOff>9525</xdr:rowOff>
        </xdr:from>
        <xdr:to>
          <xdr:col>1</xdr:col>
          <xdr:colOff>590550</xdr:colOff>
          <xdr:row>64</xdr:row>
          <xdr:rowOff>9525</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200-00008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62</xdr:row>
          <xdr:rowOff>180975</xdr:rowOff>
        </xdr:from>
        <xdr:to>
          <xdr:col>3</xdr:col>
          <xdr:colOff>0</xdr:colOff>
          <xdr:row>64</xdr:row>
          <xdr:rowOff>19050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200-00008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62</xdr:row>
          <xdr:rowOff>171450</xdr:rowOff>
        </xdr:from>
        <xdr:to>
          <xdr:col>3</xdr:col>
          <xdr:colOff>619125</xdr:colOff>
          <xdr:row>64</xdr:row>
          <xdr:rowOff>19050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200-00008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5</xdr:col>
          <xdr:colOff>0</xdr:colOff>
          <xdr:row>64</xdr:row>
          <xdr:rowOff>28575</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200-00008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62</xdr:row>
          <xdr:rowOff>180975</xdr:rowOff>
        </xdr:from>
        <xdr:to>
          <xdr:col>6</xdr:col>
          <xdr:colOff>161925</xdr:colOff>
          <xdr:row>64</xdr:row>
          <xdr:rowOff>28575</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200-00008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64</xdr:row>
          <xdr:rowOff>171450</xdr:rowOff>
        </xdr:from>
        <xdr:to>
          <xdr:col>2</xdr:col>
          <xdr:colOff>9525</xdr:colOff>
          <xdr:row>65</xdr:row>
          <xdr:rowOff>171450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200-00008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64</xdr:row>
          <xdr:rowOff>152400</xdr:rowOff>
        </xdr:from>
        <xdr:to>
          <xdr:col>3</xdr:col>
          <xdr:colOff>28575</xdr:colOff>
          <xdr:row>66</xdr:row>
          <xdr:rowOff>0</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200-00008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64</xdr:row>
          <xdr:rowOff>142875</xdr:rowOff>
        </xdr:from>
        <xdr:to>
          <xdr:col>4</xdr:col>
          <xdr:colOff>19050</xdr:colOff>
          <xdr:row>66</xdr:row>
          <xdr:rowOff>0</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200-00008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64</xdr:row>
          <xdr:rowOff>161925</xdr:rowOff>
        </xdr:from>
        <xdr:to>
          <xdr:col>5</xdr:col>
          <xdr:colOff>28575</xdr:colOff>
          <xdr:row>66</xdr:row>
          <xdr:rowOff>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200-00008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64</xdr:row>
          <xdr:rowOff>152400</xdr:rowOff>
        </xdr:from>
        <xdr:to>
          <xdr:col>6</xdr:col>
          <xdr:colOff>190500</xdr:colOff>
          <xdr:row>66</xdr:row>
          <xdr:rowOff>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200-00008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43</xdr:row>
          <xdr:rowOff>171450</xdr:rowOff>
        </xdr:from>
        <xdr:to>
          <xdr:col>6</xdr:col>
          <xdr:colOff>9525</xdr:colOff>
          <xdr:row>45</xdr:row>
          <xdr:rowOff>28575</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200-00009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43</xdr:row>
          <xdr:rowOff>171450</xdr:rowOff>
        </xdr:from>
        <xdr:to>
          <xdr:col>6</xdr:col>
          <xdr:colOff>152400</xdr:colOff>
          <xdr:row>45</xdr:row>
          <xdr:rowOff>19050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200-00009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16</xdr:row>
          <xdr:rowOff>9525</xdr:rowOff>
        </xdr:from>
        <xdr:to>
          <xdr:col>2</xdr:col>
          <xdr:colOff>0</xdr:colOff>
          <xdr:row>17</xdr:row>
          <xdr:rowOff>28575</xdr:rowOff>
        </xdr:to>
        <xdr:sp macro="" textlink="">
          <xdr:nvSpPr>
            <xdr:cNvPr id="1171" name="Button1" hidden="1">
              <a:extLst>
                <a:ext uri="{63B3BB69-23CF-44E3-9099-C40C66FF867C}">
                  <a14:compatExt spid="_x0000_s1171"/>
                </a:ext>
                <a:ext uri="{FF2B5EF4-FFF2-40B4-BE49-F238E27FC236}">
                  <a16:creationId xmlns:a16="http://schemas.microsoft.com/office/drawing/2014/main" id="{00000000-0008-0000-0200-00009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17</xdr:row>
          <xdr:rowOff>161925</xdr:rowOff>
        </xdr:from>
        <xdr:to>
          <xdr:col>2</xdr:col>
          <xdr:colOff>19050</xdr:colOff>
          <xdr:row>19</xdr:row>
          <xdr:rowOff>19050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200-00009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161925</xdr:rowOff>
        </xdr:from>
        <xdr:to>
          <xdr:col>3</xdr:col>
          <xdr:colOff>28575</xdr:colOff>
          <xdr:row>19</xdr:row>
          <xdr:rowOff>28575</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200-00009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17</xdr:row>
          <xdr:rowOff>171450</xdr:rowOff>
        </xdr:from>
        <xdr:to>
          <xdr:col>4</xdr:col>
          <xdr:colOff>0</xdr:colOff>
          <xdr:row>19</xdr:row>
          <xdr:rowOff>28575</xdr:rowOff>
        </xdr:to>
        <xdr:sp macro="" textlink="">
          <xdr:nvSpPr>
            <xdr:cNvPr id="1174" name="Button 150" hidden="1">
              <a:extLst>
                <a:ext uri="{63B3BB69-23CF-44E3-9099-C40C66FF867C}">
                  <a14:compatExt spid="_x0000_s1174"/>
                </a:ext>
                <a:ext uri="{FF2B5EF4-FFF2-40B4-BE49-F238E27FC236}">
                  <a16:creationId xmlns:a16="http://schemas.microsoft.com/office/drawing/2014/main" id="{00000000-0008-0000-0200-00009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17</xdr:row>
          <xdr:rowOff>180975</xdr:rowOff>
        </xdr:from>
        <xdr:to>
          <xdr:col>5</xdr:col>
          <xdr:colOff>57150</xdr:colOff>
          <xdr:row>19</xdr:row>
          <xdr:rowOff>38100</xdr:rowOff>
        </xdr:to>
        <xdr:sp macro="" textlink="">
          <xdr:nvSpPr>
            <xdr:cNvPr id="1175" name="Button 151" hidden="1">
              <a:extLst>
                <a:ext uri="{63B3BB69-23CF-44E3-9099-C40C66FF867C}">
                  <a14:compatExt spid="_x0000_s1175"/>
                </a:ext>
                <a:ext uri="{FF2B5EF4-FFF2-40B4-BE49-F238E27FC236}">
                  <a16:creationId xmlns:a16="http://schemas.microsoft.com/office/drawing/2014/main" id="{00000000-0008-0000-0200-00009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171450</xdr:rowOff>
        </xdr:from>
        <xdr:to>
          <xdr:col>6</xdr:col>
          <xdr:colOff>200025</xdr:colOff>
          <xdr:row>19</xdr:row>
          <xdr:rowOff>19050</xdr:rowOff>
        </xdr:to>
        <xdr:sp macro="" textlink="">
          <xdr:nvSpPr>
            <xdr:cNvPr id="1176" name="Button 152" hidden="1">
              <a:extLst>
                <a:ext uri="{63B3BB69-23CF-44E3-9099-C40C66FF867C}">
                  <a14:compatExt spid="_x0000_s1176"/>
                </a:ext>
                <a:ext uri="{FF2B5EF4-FFF2-40B4-BE49-F238E27FC236}">
                  <a16:creationId xmlns:a16="http://schemas.microsoft.com/office/drawing/2014/main" id="{00000000-0008-0000-0200-00009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19</xdr:row>
          <xdr:rowOff>161925</xdr:rowOff>
        </xdr:from>
        <xdr:to>
          <xdr:col>2</xdr:col>
          <xdr:colOff>19050</xdr:colOff>
          <xdr:row>21</xdr:row>
          <xdr:rowOff>19050</xdr:rowOff>
        </xdr:to>
        <xdr:sp macro="" textlink="">
          <xdr:nvSpPr>
            <xdr:cNvPr id="1177" name="Button 153" hidden="1">
              <a:extLst>
                <a:ext uri="{63B3BB69-23CF-44E3-9099-C40C66FF867C}">
                  <a14:compatExt spid="_x0000_s1177"/>
                </a:ext>
                <a:ext uri="{FF2B5EF4-FFF2-40B4-BE49-F238E27FC236}">
                  <a16:creationId xmlns:a16="http://schemas.microsoft.com/office/drawing/2014/main" id="{00000000-0008-0000-0200-00009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161925</xdr:rowOff>
        </xdr:from>
        <xdr:to>
          <xdr:col>3</xdr:col>
          <xdr:colOff>28575</xdr:colOff>
          <xdr:row>21</xdr:row>
          <xdr:rowOff>28575</xdr:rowOff>
        </xdr:to>
        <xdr:sp macro="" textlink="">
          <xdr:nvSpPr>
            <xdr:cNvPr id="1178" name="Button 154" hidden="1">
              <a:extLst>
                <a:ext uri="{63B3BB69-23CF-44E3-9099-C40C66FF867C}">
                  <a14:compatExt spid="_x0000_s1178"/>
                </a:ext>
                <a:ext uri="{FF2B5EF4-FFF2-40B4-BE49-F238E27FC236}">
                  <a16:creationId xmlns:a16="http://schemas.microsoft.com/office/drawing/2014/main" id="{00000000-0008-0000-0200-00009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19</xdr:row>
          <xdr:rowOff>171450</xdr:rowOff>
        </xdr:from>
        <xdr:to>
          <xdr:col>4</xdr:col>
          <xdr:colOff>0</xdr:colOff>
          <xdr:row>21</xdr:row>
          <xdr:rowOff>28575</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200-00009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19</xdr:row>
          <xdr:rowOff>180975</xdr:rowOff>
        </xdr:from>
        <xdr:to>
          <xdr:col>5</xdr:col>
          <xdr:colOff>57150</xdr:colOff>
          <xdr:row>21</xdr:row>
          <xdr:rowOff>38100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200-00009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19</xdr:row>
          <xdr:rowOff>171450</xdr:rowOff>
        </xdr:from>
        <xdr:to>
          <xdr:col>6</xdr:col>
          <xdr:colOff>200025</xdr:colOff>
          <xdr:row>21</xdr:row>
          <xdr:rowOff>19050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200-00009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18</xdr:row>
          <xdr:rowOff>9525</xdr:rowOff>
        </xdr:from>
        <xdr:to>
          <xdr:col>2</xdr:col>
          <xdr:colOff>0</xdr:colOff>
          <xdr:row>19</xdr:row>
          <xdr:rowOff>28575</xdr:rowOff>
        </xdr:to>
        <xdr:sp macro="" textlink="">
          <xdr:nvSpPr>
            <xdr:cNvPr id="1183" name="Button 159" hidden="1">
              <a:extLst>
                <a:ext uri="{63B3BB69-23CF-44E3-9099-C40C66FF867C}">
                  <a14:compatExt spid="_x0000_s1183"/>
                </a:ext>
                <a:ext uri="{FF2B5EF4-FFF2-40B4-BE49-F238E27FC236}">
                  <a16:creationId xmlns:a16="http://schemas.microsoft.com/office/drawing/2014/main" id="{00000000-0008-0000-0200-00009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20</xdr:row>
          <xdr:rowOff>9525</xdr:rowOff>
        </xdr:from>
        <xdr:to>
          <xdr:col>2</xdr:col>
          <xdr:colOff>0</xdr:colOff>
          <xdr:row>21</xdr:row>
          <xdr:rowOff>28575</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200-0000A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21</xdr:row>
          <xdr:rowOff>161925</xdr:rowOff>
        </xdr:from>
        <xdr:to>
          <xdr:col>2</xdr:col>
          <xdr:colOff>19050</xdr:colOff>
          <xdr:row>23</xdr:row>
          <xdr:rowOff>19050</xdr:rowOff>
        </xdr:to>
        <xdr:sp macro="" textlink="">
          <xdr:nvSpPr>
            <xdr:cNvPr id="1186" name="Button 162" hidden="1">
              <a:extLst>
                <a:ext uri="{63B3BB69-23CF-44E3-9099-C40C66FF867C}">
                  <a14:compatExt spid="_x0000_s1186"/>
                </a:ext>
                <a:ext uri="{FF2B5EF4-FFF2-40B4-BE49-F238E27FC236}">
                  <a16:creationId xmlns:a16="http://schemas.microsoft.com/office/drawing/2014/main" id="{00000000-0008-0000-0200-0000A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161925</xdr:rowOff>
        </xdr:from>
        <xdr:to>
          <xdr:col>3</xdr:col>
          <xdr:colOff>28575</xdr:colOff>
          <xdr:row>23</xdr:row>
          <xdr:rowOff>28575</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200-0000A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21</xdr:row>
          <xdr:rowOff>171450</xdr:rowOff>
        </xdr:from>
        <xdr:to>
          <xdr:col>4</xdr:col>
          <xdr:colOff>0</xdr:colOff>
          <xdr:row>23</xdr:row>
          <xdr:rowOff>28575</xdr:rowOff>
        </xdr:to>
        <xdr:sp macro="" textlink="">
          <xdr:nvSpPr>
            <xdr:cNvPr id="1188" name="Button 164" hidden="1">
              <a:extLst>
                <a:ext uri="{63B3BB69-23CF-44E3-9099-C40C66FF867C}">
                  <a14:compatExt spid="_x0000_s1188"/>
                </a:ext>
                <a:ext uri="{FF2B5EF4-FFF2-40B4-BE49-F238E27FC236}">
                  <a16:creationId xmlns:a16="http://schemas.microsoft.com/office/drawing/2014/main" id="{00000000-0008-0000-0200-0000A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21</xdr:row>
          <xdr:rowOff>180975</xdr:rowOff>
        </xdr:from>
        <xdr:to>
          <xdr:col>5</xdr:col>
          <xdr:colOff>57150</xdr:colOff>
          <xdr:row>23</xdr:row>
          <xdr:rowOff>38100</xdr:rowOff>
        </xdr:to>
        <xdr:sp macro="" textlink="">
          <xdr:nvSpPr>
            <xdr:cNvPr id="1189" name="Button 165" hidden="1">
              <a:extLst>
                <a:ext uri="{63B3BB69-23CF-44E3-9099-C40C66FF867C}">
                  <a14:compatExt spid="_x0000_s1189"/>
                </a:ext>
                <a:ext uri="{FF2B5EF4-FFF2-40B4-BE49-F238E27FC236}">
                  <a16:creationId xmlns:a16="http://schemas.microsoft.com/office/drawing/2014/main" id="{00000000-0008-0000-0200-0000A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21</xdr:row>
          <xdr:rowOff>171450</xdr:rowOff>
        </xdr:from>
        <xdr:to>
          <xdr:col>6</xdr:col>
          <xdr:colOff>200025</xdr:colOff>
          <xdr:row>23</xdr:row>
          <xdr:rowOff>19050</xdr:rowOff>
        </xdr:to>
        <xdr:sp macro="" textlink="">
          <xdr:nvSpPr>
            <xdr:cNvPr id="1190" name="Button 166" hidden="1">
              <a:extLst>
                <a:ext uri="{63B3BB69-23CF-44E3-9099-C40C66FF867C}">
                  <a14:compatExt spid="_x0000_s1190"/>
                </a:ext>
                <a:ext uri="{FF2B5EF4-FFF2-40B4-BE49-F238E27FC236}">
                  <a16:creationId xmlns:a16="http://schemas.microsoft.com/office/drawing/2014/main" id="{00000000-0008-0000-0200-0000A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Very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22</xdr:row>
          <xdr:rowOff>9525</xdr:rowOff>
        </xdr:from>
        <xdr:to>
          <xdr:col>2</xdr:col>
          <xdr:colOff>0</xdr:colOff>
          <xdr:row>23</xdr:row>
          <xdr:rowOff>28575</xdr:rowOff>
        </xdr:to>
        <xdr:sp macro="" textlink="">
          <xdr:nvSpPr>
            <xdr:cNvPr id="1192" name="Button 168" hidden="1">
              <a:extLst>
                <a:ext uri="{63B3BB69-23CF-44E3-9099-C40C66FF867C}">
                  <a14:compatExt spid="_x0000_s1192"/>
                </a:ext>
                <a:ext uri="{FF2B5EF4-FFF2-40B4-BE49-F238E27FC236}">
                  <a16:creationId xmlns:a16="http://schemas.microsoft.com/office/drawing/2014/main" id="{00000000-0008-0000-0200-0000A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12</xdr:row>
          <xdr:rowOff>9525</xdr:rowOff>
        </xdr:from>
        <xdr:to>
          <xdr:col>2</xdr:col>
          <xdr:colOff>0</xdr:colOff>
          <xdr:row>13</xdr:row>
          <xdr:rowOff>28575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200-0000A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15</xdr:col>
      <xdr:colOff>9156</xdr:colOff>
      <xdr:row>0</xdr:row>
      <xdr:rowOff>0</xdr:rowOff>
    </xdr:from>
    <xdr:to>
      <xdr:col>22</xdr:col>
      <xdr:colOff>352986</xdr:colOff>
      <xdr:row>14</xdr:row>
      <xdr:rowOff>106401</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545946</xdr:colOff>
      <xdr:row>16</xdr:row>
      <xdr:rowOff>14922</xdr:rowOff>
    </xdr:from>
    <xdr:to>
      <xdr:col>22</xdr:col>
      <xdr:colOff>285751</xdr:colOff>
      <xdr:row>30</xdr:row>
      <xdr:rowOff>156171</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328796</xdr:colOff>
      <xdr:row>6</xdr:row>
      <xdr:rowOff>81310</xdr:rowOff>
    </xdr:from>
    <xdr:to>
      <xdr:col>14</xdr:col>
      <xdr:colOff>60129</xdr:colOff>
      <xdr:row>22</xdr:row>
      <xdr:rowOff>154532</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CIS303%20Ass%5eN1%20Thematic%20Analysis%20-%20Daniel%20Wild%20Olivier%20Gautrel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H"/>
      <sheetName val="Novopay"/>
      <sheetName val="Analysis sheet"/>
    </sheetNames>
    <sheetDataSet>
      <sheetData sheetId="0" refreshError="1"/>
      <sheetData sheetId="1" refreshError="1"/>
      <sheetData sheetId="2">
        <row r="1">
          <cell r="F1" t="str">
            <v>Total</v>
          </cell>
          <cell r="L1" t="str">
            <v>Percent</v>
          </cell>
        </row>
        <row r="2">
          <cell r="C2" t="str">
            <v>Undermined Motivation</v>
          </cell>
          <cell r="F2">
            <v>5</v>
          </cell>
          <cell r="J2" t="str">
            <v>People</v>
          </cell>
          <cell r="L2">
            <v>0.40065146579804561</v>
          </cell>
        </row>
        <row r="3">
          <cell r="C3" t="str">
            <v>Ineffective stakeholder management</v>
          </cell>
          <cell r="F3">
            <v>20</v>
          </cell>
          <cell r="J3" t="str">
            <v>Process</v>
          </cell>
          <cell r="L3">
            <v>0.57003257328990231</v>
          </cell>
        </row>
        <row r="4">
          <cell r="C4" t="str">
            <v>Individual capabilities</v>
          </cell>
          <cell r="F4">
            <v>6</v>
          </cell>
          <cell r="J4" t="str">
            <v>Technology</v>
          </cell>
          <cell r="L4">
            <v>1.3029315960912053E-2</v>
          </cell>
        </row>
        <row r="5">
          <cell r="C5" t="str">
            <v>Ineffective Leadership</v>
          </cell>
          <cell r="F5">
            <v>16</v>
          </cell>
          <cell r="J5" t="str">
            <v>Product</v>
          </cell>
          <cell r="L5">
            <v>1.6286644951140065E-2</v>
          </cell>
        </row>
        <row r="6">
          <cell r="C6" t="str">
            <v>Team lack of experience</v>
          </cell>
          <cell r="F6">
            <v>7</v>
          </cell>
        </row>
        <row r="7">
          <cell r="C7" t="str">
            <v>Poor management decisions</v>
          </cell>
          <cell r="F7">
            <v>29</v>
          </cell>
        </row>
        <row r="8">
          <cell r="C8" t="str">
            <v>Insufficient communication</v>
          </cell>
          <cell r="F8">
            <v>32</v>
          </cell>
        </row>
        <row r="9">
          <cell r="C9" t="str">
            <v>Lack of accountability</v>
          </cell>
          <cell r="F9">
            <v>8</v>
          </cell>
        </row>
        <row r="11">
          <cell r="C11" t="str">
            <v>Poor estimation and/or Scheduling</v>
          </cell>
          <cell r="F11">
            <v>11</v>
          </cell>
        </row>
        <row r="12">
          <cell r="C12" t="str">
            <v>Insufficient risk management</v>
          </cell>
          <cell r="F12">
            <v>20</v>
          </cell>
        </row>
        <row r="13">
          <cell r="C13" t="str">
            <v>Insufficient Planning</v>
          </cell>
          <cell r="F13">
            <v>66</v>
          </cell>
        </row>
        <row r="14">
          <cell r="C14" t="str">
            <v>Short-changed quality assurance</v>
          </cell>
          <cell r="F14">
            <v>3</v>
          </cell>
        </row>
        <row r="15">
          <cell r="C15" t="str">
            <v>Poor requirements determination</v>
          </cell>
          <cell r="F15">
            <v>22</v>
          </cell>
        </row>
        <row r="16">
          <cell r="C16" t="str">
            <v>Contractor failure</v>
          </cell>
          <cell r="F16">
            <v>7</v>
          </cell>
        </row>
        <row r="17">
          <cell r="C17" t="str">
            <v>Insufficient management controls</v>
          </cell>
          <cell r="F17">
            <v>46</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03591-07BA-402A-8AF6-2C52767F8547}">
  <sheetPr codeName="Sheet2"/>
  <dimension ref="A1:H5"/>
  <sheetViews>
    <sheetView workbookViewId="0">
      <selection activeCell="D10" sqref="D10"/>
    </sheetView>
  </sheetViews>
  <sheetFormatPr defaultRowHeight="15" x14ac:dyDescent="0.25"/>
  <sheetData>
    <row r="1" spans="1:8" ht="31.5" x14ac:dyDescent="0.6">
      <c r="A1" s="31" t="s">
        <v>0</v>
      </c>
    </row>
    <row r="2" spans="1:8" ht="18.75" x14ac:dyDescent="0.3">
      <c r="A2" s="32" t="s">
        <v>1</v>
      </c>
      <c r="B2" s="32"/>
      <c r="C2" s="32"/>
      <c r="D2" s="32"/>
      <c r="E2" s="32"/>
      <c r="F2" s="32"/>
      <c r="G2" s="32"/>
      <c r="H2" s="32"/>
    </row>
    <row r="3" spans="1:8" ht="18.75" x14ac:dyDescent="0.3">
      <c r="A3" s="32" t="s">
        <v>2</v>
      </c>
      <c r="B3" s="32"/>
      <c r="C3" s="32"/>
      <c r="D3" s="32"/>
      <c r="E3" s="32"/>
      <c r="F3" s="32"/>
      <c r="G3" s="32"/>
      <c r="H3" s="32"/>
    </row>
    <row r="4" spans="1:8" ht="18.75" x14ac:dyDescent="0.3">
      <c r="A4" s="32" t="s">
        <v>3</v>
      </c>
      <c r="B4" s="32"/>
      <c r="C4" s="32"/>
      <c r="D4" s="32"/>
      <c r="E4" s="32"/>
      <c r="F4" s="32"/>
      <c r="G4" s="32"/>
      <c r="H4" s="32"/>
    </row>
    <row r="5" spans="1:8" ht="18.75" x14ac:dyDescent="0.3">
      <c r="A5" s="32" t="s">
        <v>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65D2E-F0E5-4EE9-A950-74EE09B49C32}">
  <sheetPr codeName="Sheet3"/>
  <dimension ref="A1:L72"/>
  <sheetViews>
    <sheetView zoomScale="85" zoomScaleNormal="85" workbookViewId="0">
      <selection activeCell="E10" sqref="E10"/>
    </sheetView>
  </sheetViews>
  <sheetFormatPr defaultRowHeight="15" x14ac:dyDescent="0.25"/>
  <cols>
    <col min="1" max="1" width="11.85546875" customWidth="1"/>
    <col min="2" max="2" width="52" customWidth="1"/>
    <col min="3" max="3" width="40.7109375" customWidth="1"/>
    <col min="4" max="4" width="22.42578125" customWidth="1"/>
    <col min="5" max="5" width="56.140625" customWidth="1"/>
    <col min="11" max="11" width="67" customWidth="1"/>
    <col min="12" max="12" width="29.7109375" customWidth="1"/>
  </cols>
  <sheetData>
    <row r="1" spans="1:12" ht="18.75" x14ac:dyDescent="0.3">
      <c r="A1" s="11"/>
      <c r="B1" s="11"/>
      <c r="C1" s="12" t="s">
        <v>5</v>
      </c>
      <c r="D1" s="11"/>
    </row>
    <row r="2" spans="1:12" x14ac:dyDescent="0.25">
      <c r="A2" s="11"/>
      <c r="B2" s="11"/>
      <c r="C2" s="11"/>
      <c r="D2" s="11"/>
      <c r="E2" s="11"/>
    </row>
    <row r="3" spans="1:12" ht="18.75" x14ac:dyDescent="0.3">
      <c r="A3" s="11"/>
      <c r="B3" s="13" t="s">
        <v>6</v>
      </c>
      <c r="C3" s="11"/>
    </row>
    <row r="4" spans="1:12" x14ac:dyDescent="0.25">
      <c r="A4" s="11"/>
      <c r="B4" t="s">
        <v>7</v>
      </c>
      <c r="C4" s="14" t="s">
        <v>8</v>
      </c>
      <c r="D4" s="15" t="s">
        <v>8</v>
      </c>
      <c r="E4" s="11"/>
    </row>
    <row r="5" spans="1:12" x14ac:dyDescent="0.25">
      <c r="A5" s="11"/>
      <c r="B5" s="16"/>
      <c r="C5" s="11"/>
      <c r="D5" s="11"/>
      <c r="E5" s="11"/>
    </row>
    <row r="6" spans="1:12" x14ac:dyDescent="0.25">
      <c r="A6" s="11"/>
      <c r="B6" s="11"/>
      <c r="C6" s="11"/>
      <c r="D6" s="11"/>
      <c r="E6" s="11"/>
    </row>
    <row r="7" spans="1:12" ht="60" x14ac:dyDescent="0.25">
      <c r="A7" s="17" t="s">
        <v>9</v>
      </c>
      <c r="B7" s="17" t="s">
        <v>10</v>
      </c>
      <c r="C7" s="17" t="s">
        <v>11</v>
      </c>
      <c r="D7" s="17" t="s">
        <v>12</v>
      </c>
      <c r="E7" s="17" t="s">
        <v>13</v>
      </c>
      <c r="K7" s="9" t="s">
        <v>14</v>
      </c>
      <c r="L7" s="9" t="s">
        <v>15</v>
      </c>
    </row>
    <row r="8" spans="1:12" ht="225" x14ac:dyDescent="0.25">
      <c r="A8" s="18"/>
      <c r="B8" s="10" t="s">
        <v>16</v>
      </c>
      <c r="C8" s="18" t="s">
        <v>17</v>
      </c>
      <c r="D8" s="18" t="s">
        <v>18</v>
      </c>
      <c r="E8" s="10" t="s">
        <v>19</v>
      </c>
      <c r="K8" s="10" t="s">
        <v>20</v>
      </c>
    </row>
    <row r="9" spans="1:12" ht="150" x14ac:dyDescent="0.25">
      <c r="A9" s="18"/>
      <c r="B9" s="10" t="s">
        <v>21</v>
      </c>
      <c r="C9" s="18" t="s">
        <v>22</v>
      </c>
      <c r="D9" s="18" t="s">
        <v>18</v>
      </c>
      <c r="E9" s="10" t="s">
        <v>19</v>
      </c>
      <c r="K9" s="10"/>
    </row>
    <row r="10" spans="1:12" ht="210" x14ac:dyDescent="0.25">
      <c r="A10" s="18"/>
      <c r="B10" s="10" t="s">
        <v>23</v>
      </c>
      <c r="C10" s="18" t="s">
        <v>24</v>
      </c>
      <c r="D10" s="18" t="s">
        <v>25</v>
      </c>
      <c r="E10" s="10" t="s">
        <v>26</v>
      </c>
    </row>
    <row r="11" spans="1:12" ht="255" x14ac:dyDescent="0.25">
      <c r="A11" s="18"/>
      <c r="B11" s="10" t="s">
        <v>27</v>
      </c>
      <c r="C11" s="18" t="s">
        <v>28</v>
      </c>
      <c r="D11" s="18" t="s">
        <v>29</v>
      </c>
      <c r="E11" s="10"/>
    </row>
    <row r="12" spans="1:12" ht="165" x14ac:dyDescent="0.25">
      <c r="A12" s="18"/>
      <c r="B12" s="10" t="s">
        <v>30</v>
      </c>
      <c r="C12" s="18" t="s">
        <v>31</v>
      </c>
      <c r="D12" s="18" t="s">
        <v>32</v>
      </c>
      <c r="E12" s="10"/>
    </row>
    <row r="13" spans="1:12" ht="210" x14ac:dyDescent="0.25">
      <c r="A13" s="18"/>
      <c r="B13" s="10" t="s">
        <v>33</v>
      </c>
      <c r="C13" s="18" t="s">
        <v>34</v>
      </c>
      <c r="D13" s="18" t="s">
        <v>35</v>
      </c>
      <c r="E13" s="10" t="s">
        <v>19</v>
      </c>
    </row>
    <row r="14" spans="1:12" ht="210" x14ac:dyDescent="0.25">
      <c r="A14" s="18"/>
      <c r="B14" s="10" t="s">
        <v>36</v>
      </c>
      <c r="C14" s="18" t="s">
        <v>37</v>
      </c>
      <c r="D14" s="18" t="s">
        <v>38</v>
      </c>
      <c r="E14" s="10" t="s">
        <v>19</v>
      </c>
    </row>
    <row r="15" spans="1:12" ht="240" x14ac:dyDescent="0.25">
      <c r="A15" s="18"/>
      <c r="B15" s="10" t="s">
        <v>39</v>
      </c>
      <c r="C15" s="18" t="s">
        <v>40</v>
      </c>
      <c r="D15" s="18" t="s">
        <v>41</v>
      </c>
      <c r="E15" s="10"/>
    </row>
    <row r="16" spans="1:12" ht="270" x14ac:dyDescent="0.25">
      <c r="A16" s="18"/>
      <c r="B16" s="10" t="s">
        <v>42</v>
      </c>
      <c r="C16" s="18" t="s">
        <v>43</v>
      </c>
      <c r="D16" s="18" t="s">
        <v>44</v>
      </c>
      <c r="E16" s="10" t="s">
        <v>19</v>
      </c>
    </row>
    <row r="17" spans="1:5" ht="180" x14ac:dyDescent="0.25">
      <c r="A17" s="18"/>
      <c r="B17" s="10" t="s">
        <v>45</v>
      </c>
      <c r="C17" s="18" t="s">
        <v>46</v>
      </c>
      <c r="D17" s="18" t="s">
        <v>47</v>
      </c>
      <c r="E17" s="10" t="s">
        <v>48</v>
      </c>
    </row>
    <row r="18" spans="1:5" ht="195" x14ac:dyDescent="0.25">
      <c r="A18" s="18"/>
      <c r="B18" s="10" t="s">
        <v>49</v>
      </c>
      <c r="C18" s="18" t="s">
        <v>50</v>
      </c>
      <c r="D18" s="18" t="s">
        <v>51</v>
      </c>
      <c r="E18" s="10" t="s">
        <v>19</v>
      </c>
    </row>
    <row r="19" spans="1:5" ht="135" x14ac:dyDescent="0.25">
      <c r="A19" s="18"/>
      <c r="B19" s="10" t="s">
        <v>52</v>
      </c>
      <c r="C19" s="18" t="s">
        <v>53</v>
      </c>
      <c r="D19" s="18" t="s">
        <v>54</v>
      </c>
      <c r="E19" s="10" t="s">
        <v>19</v>
      </c>
    </row>
    <row r="20" spans="1:5" ht="180" x14ac:dyDescent="0.25">
      <c r="A20" s="18"/>
      <c r="B20" s="10" t="s">
        <v>55</v>
      </c>
      <c r="C20" s="18" t="s">
        <v>56</v>
      </c>
      <c r="D20" s="18" t="s">
        <v>57</v>
      </c>
      <c r="E20" s="10"/>
    </row>
    <row r="21" spans="1:5" ht="180" x14ac:dyDescent="0.25">
      <c r="A21" s="18"/>
      <c r="B21" s="10" t="s">
        <v>58</v>
      </c>
      <c r="C21" s="18" t="s">
        <v>59</v>
      </c>
      <c r="D21" s="18" t="s">
        <v>57</v>
      </c>
      <c r="E21" s="10"/>
    </row>
    <row r="22" spans="1:5" ht="120" x14ac:dyDescent="0.25">
      <c r="A22" s="18"/>
      <c r="B22" s="10" t="s">
        <v>60</v>
      </c>
      <c r="C22" s="18" t="s">
        <v>61</v>
      </c>
      <c r="D22" s="18" t="s">
        <v>62</v>
      </c>
      <c r="E22" s="10"/>
    </row>
    <row r="23" spans="1:5" ht="150" x14ac:dyDescent="0.25">
      <c r="A23" s="18"/>
      <c r="B23" s="10" t="s">
        <v>63</v>
      </c>
      <c r="C23" s="18" t="s">
        <v>64</v>
      </c>
      <c r="D23" s="18" t="s">
        <v>54</v>
      </c>
      <c r="E23" s="10" t="s">
        <v>19</v>
      </c>
    </row>
    <row r="24" spans="1:5" ht="180" x14ac:dyDescent="0.25">
      <c r="A24" s="18"/>
      <c r="B24" s="10" t="s">
        <v>65</v>
      </c>
      <c r="C24" s="18" t="s">
        <v>66</v>
      </c>
      <c r="D24" s="18" t="s">
        <v>67</v>
      </c>
      <c r="E24" s="10" t="s">
        <v>19</v>
      </c>
    </row>
    <row r="25" spans="1:5" ht="90" x14ac:dyDescent="0.25">
      <c r="A25" s="18"/>
      <c r="B25" s="10" t="s">
        <v>68</v>
      </c>
      <c r="C25" s="18" t="s">
        <v>69</v>
      </c>
      <c r="D25" s="18" t="s">
        <v>70</v>
      </c>
      <c r="E25" s="10" t="s">
        <v>19</v>
      </c>
    </row>
    <row r="26" spans="1:5" ht="195" x14ac:dyDescent="0.25">
      <c r="A26" s="18"/>
      <c r="B26" s="10" t="s">
        <v>71</v>
      </c>
      <c r="C26" s="18" t="s">
        <v>72</v>
      </c>
      <c r="D26" s="18" t="s">
        <v>73</v>
      </c>
      <c r="E26" s="10" t="s">
        <v>19</v>
      </c>
    </row>
    <row r="27" spans="1:5" ht="195" x14ac:dyDescent="0.25">
      <c r="A27" s="18"/>
      <c r="B27" s="10" t="s">
        <v>74</v>
      </c>
      <c r="C27" s="18" t="s">
        <v>75</v>
      </c>
      <c r="D27" s="18" t="s">
        <v>76</v>
      </c>
      <c r="E27" s="10" t="s">
        <v>19</v>
      </c>
    </row>
    <row r="28" spans="1:5" ht="150" x14ac:dyDescent="0.25">
      <c r="A28" s="18"/>
      <c r="B28" s="10" t="s">
        <v>77</v>
      </c>
      <c r="C28" s="18" t="s">
        <v>78</v>
      </c>
      <c r="D28" s="18" t="s">
        <v>79</v>
      </c>
      <c r="E28" s="10" t="s">
        <v>19</v>
      </c>
    </row>
    <row r="29" spans="1:5" ht="180" x14ac:dyDescent="0.25">
      <c r="A29" s="18"/>
      <c r="B29" s="10" t="s">
        <v>80</v>
      </c>
      <c r="C29" s="18" t="s">
        <v>81</v>
      </c>
      <c r="D29" s="18" t="s">
        <v>82</v>
      </c>
      <c r="E29" s="10" t="s">
        <v>19</v>
      </c>
    </row>
    <row r="30" spans="1:5" ht="180" x14ac:dyDescent="0.25">
      <c r="A30" s="18"/>
      <c r="B30" s="10" t="s">
        <v>83</v>
      </c>
      <c r="C30" s="18" t="s">
        <v>84</v>
      </c>
      <c r="D30" s="18" t="s">
        <v>85</v>
      </c>
      <c r="E30" s="10" t="s">
        <v>19</v>
      </c>
    </row>
    <row r="31" spans="1:5" ht="75" x14ac:dyDescent="0.25">
      <c r="A31" s="18"/>
      <c r="B31" s="10" t="s">
        <v>86</v>
      </c>
      <c r="C31" s="18" t="s">
        <v>87</v>
      </c>
      <c r="D31" s="18" t="s">
        <v>88</v>
      </c>
      <c r="E31" s="10" t="s">
        <v>89</v>
      </c>
    </row>
    <row r="32" spans="1:5" ht="315" x14ac:dyDescent="0.25">
      <c r="A32" s="18"/>
      <c r="B32" s="10" t="s">
        <v>90</v>
      </c>
      <c r="C32" s="18" t="s">
        <v>91</v>
      </c>
      <c r="D32" s="18" t="s">
        <v>92</v>
      </c>
      <c r="E32" s="10" t="s">
        <v>19</v>
      </c>
    </row>
    <row r="33" spans="1:5" ht="120" x14ac:dyDescent="0.25">
      <c r="A33" s="18"/>
      <c r="B33" s="10" t="s">
        <v>93</v>
      </c>
      <c r="C33" s="18" t="s">
        <v>94</v>
      </c>
      <c r="D33" s="18" t="s">
        <v>95</v>
      </c>
      <c r="E33" s="10" t="s">
        <v>19</v>
      </c>
    </row>
    <row r="34" spans="1:5" ht="105" x14ac:dyDescent="0.25">
      <c r="A34" s="18"/>
      <c r="B34" s="10" t="s">
        <v>96</v>
      </c>
      <c r="C34" s="18" t="s">
        <v>97</v>
      </c>
      <c r="D34" s="18" t="s">
        <v>98</v>
      </c>
      <c r="E34" s="10" t="s">
        <v>99</v>
      </c>
    </row>
    <row r="35" spans="1:5" ht="166.5" customHeight="1" x14ac:dyDescent="0.25">
      <c r="A35" s="18"/>
      <c r="B35" s="10" t="s">
        <v>100</v>
      </c>
      <c r="C35" s="18" t="s">
        <v>97</v>
      </c>
      <c r="D35" s="18" t="s">
        <v>101</v>
      </c>
      <c r="E35" s="10" t="s">
        <v>99</v>
      </c>
    </row>
    <row r="36" spans="1:5" ht="90" x14ac:dyDescent="0.25">
      <c r="A36" s="18"/>
      <c r="B36" s="10" t="s">
        <v>102</v>
      </c>
      <c r="C36" s="18" t="s">
        <v>97</v>
      </c>
      <c r="D36" s="18" t="s">
        <v>103</v>
      </c>
      <c r="E36" s="10" t="s">
        <v>19</v>
      </c>
    </row>
    <row r="37" spans="1:5" ht="90" x14ac:dyDescent="0.25">
      <c r="A37" s="18"/>
      <c r="B37" s="10" t="s">
        <v>104</v>
      </c>
      <c r="C37" s="18" t="s">
        <v>97</v>
      </c>
      <c r="D37" s="18" t="s">
        <v>105</v>
      </c>
      <c r="E37" s="10" t="s">
        <v>106</v>
      </c>
    </row>
    <row r="38" spans="1:5" x14ac:dyDescent="0.25">
      <c r="A38" s="18"/>
      <c r="B38" s="18"/>
      <c r="C38" s="18"/>
      <c r="D38" s="18"/>
    </row>
    <row r="39" spans="1:5" x14ac:dyDescent="0.25">
      <c r="A39" s="18"/>
      <c r="B39" s="18"/>
      <c r="C39" s="18"/>
      <c r="D39" s="18"/>
    </row>
    <row r="40" spans="1:5" x14ac:dyDescent="0.25">
      <c r="A40" s="18"/>
      <c r="B40" s="18"/>
      <c r="C40" s="18"/>
      <c r="D40" s="18"/>
    </row>
    <row r="41" spans="1:5" x14ac:dyDescent="0.25">
      <c r="A41" s="18"/>
      <c r="B41" s="18"/>
      <c r="C41" s="18"/>
      <c r="D41" s="18"/>
    </row>
    <row r="42" spans="1:5" x14ac:dyDescent="0.25">
      <c r="A42" s="18"/>
      <c r="B42" s="18"/>
      <c r="C42" s="18"/>
      <c r="D42" s="18"/>
    </row>
    <row r="43" spans="1:5" x14ac:dyDescent="0.25">
      <c r="A43" s="18"/>
      <c r="B43" s="18"/>
      <c r="C43" s="18"/>
      <c r="D43" s="18"/>
    </row>
    <row r="44" spans="1:5" x14ac:dyDescent="0.25">
      <c r="A44" s="18"/>
      <c r="B44" s="18"/>
      <c r="C44" s="18"/>
      <c r="D44" s="18"/>
    </row>
    <row r="45" spans="1:5" x14ac:dyDescent="0.25">
      <c r="A45" s="18"/>
      <c r="B45" s="18"/>
      <c r="C45" s="18"/>
      <c r="D45" s="18"/>
    </row>
    <row r="46" spans="1:5" x14ac:dyDescent="0.25">
      <c r="A46" s="18"/>
      <c r="B46" s="18"/>
      <c r="C46" s="18"/>
      <c r="D46" s="18"/>
    </row>
    <row r="47" spans="1:5" x14ac:dyDescent="0.25">
      <c r="A47" s="18"/>
      <c r="B47" s="18"/>
      <c r="C47" s="18"/>
      <c r="D47" s="18"/>
    </row>
    <row r="48" spans="1:5" x14ac:dyDescent="0.25">
      <c r="A48" s="18"/>
      <c r="B48" s="18"/>
      <c r="C48" s="18"/>
      <c r="D48" s="18"/>
    </row>
    <row r="49" spans="1:4" x14ac:dyDescent="0.25">
      <c r="A49" s="18"/>
      <c r="B49" s="18"/>
      <c r="C49" s="18"/>
      <c r="D49" s="18"/>
    </row>
    <row r="50" spans="1:4" x14ac:dyDescent="0.25">
      <c r="A50" s="18"/>
      <c r="B50" s="18"/>
      <c r="C50" s="18"/>
      <c r="D50" s="18"/>
    </row>
    <row r="51" spans="1:4" x14ac:dyDescent="0.25">
      <c r="A51" s="18"/>
      <c r="B51" s="18"/>
      <c r="C51" s="18"/>
      <c r="D51" s="18"/>
    </row>
    <row r="52" spans="1:4" x14ac:dyDescent="0.25">
      <c r="A52" s="18"/>
      <c r="B52" s="18"/>
      <c r="C52" s="18"/>
      <c r="D52" s="18"/>
    </row>
    <row r="53" spans="1:4" x14ac:dyDescent="0.25">
      <c r="A53" s="18"/>
      <c r="B53" s="18"/>
      <c r="C53" s="18"/>
      <c r="D53" s="18"/>
    </row>
    <row r="54" spans="1:4" x14ac:dyDescent="0.25">
      <c r="A54" s="18"/>
      <c r="B54" s="18"/>
      <c r="C54" s="18"/>
      <c r="D54" s="18"/>
    </row>
    <row r="55" spans="1:4" x14ac:dyDescent="0.25">
      <c r="A55" s="18"/>
      <c r="B55" s="18"/>
      <c r="C55" s="18"/>
      <c r="D55" s="18"/>
    </row>
    <row r="56" spans="1:4" x14ac:dyDescent="0.25">
      <c r="A56" s="18"/>
      <c r="B56" s="18"/>
      <c r="C56" s="18"/>
      <c r="D56" s="18"/>
    </row>
    <row r="57" spans="1:4" x14ac:dyDescent="0.25">
      <c r="A57" s="18"/>
      <c r="B57" s="18"/>
      <c r="C57" s="18"/>
      <c r="D57" s="18"/>
    </row>
    <row r="58" spans="1:4" x14ac:dyDescent="0.25">
      <c r="A58" s="18"/>
      <c r="B58" s="18"/>
      <c r="C58" s="18"/>
      <c r="D58" s="18"/>
    </row>
    <row r="59" spans="1:4" x14ac:dyDescent="0.25">
      <c r="A59" s="18"/>
      <c r="B59" s="18"/>
      <c r="C59" s="18"/>
      <c r="D59" s="18"/>
    </row>
    <row r="60" spans="1:4" x14ac:dyDescent="0.25">
      <c r="A60" s="18"/>
      <c r="B60" s="18"/>
      <c r="C60" s="18"/>
      <c r="D60" s="18"/>
    </row>
    <row r="61" spans="1:4" x14ac:dyDescent="0.25">
      <c r="A61" s="18"/>
      <c r="B61" s="18"/>
      <c r="C61" s="18"/>
      <c r="D61" s="18"/>
    </row>
    <row r="62" spans="1:4" x14ac:dyDescent="0.25">
      <c r="A62" s="18"/>
      <c r="B62" s="18"/>
      <c r="C62" s="18"/>
      <c r="D62" s="18"/>
    </row>
    <row r="63" spans="1:4" x14ac:dyDescent="0.25">
      <c r="A63" s="18"/>
      <c r="B63" s="18"/>
      <c r="C63" s="18"/>
      <c r="D63" s="18"/>
    </row>
    <row r="64" spans="1:4" x14ac:dyDescent="0.25">
      <c r="A64" s="18"/>
      <c r="B64" s="18"/>
      <c r="C64" s="18"/>
      <c r="D64" s="18"/>
    </row>
    <row r="65" spans="1:4" x14ac:dyDescent="0.25">
      <c r="A65" s="18"/>
      <c r="B65" s="18"/>
      <c r="C65" s="18"/>
      <c r="D65" s="18"/>
    </row>
    <row r="66" spans="1:4" x14ac:dyDescent="0.25">
      <c r="A66" s="18"/>
      <c r="B66" s="18"/>
      <c r="C66" s="18"/>
      <c r="D66" s="18"/>
    </row>
    <row r="67" spans="1:4" x14ac:dyDescent="0.25">
      <c r="A67" s="18"/>
      <c r="B67" s="18"/>
      <c r="C67" s="18"/>
      <c r="D67" s="18"/>
    </row>
    <row r="68" spans="1:4" x14ac:dyDescent="0.25">
      <c r="A68" s="18"/>
      <c r="B68" s="18"/>
      <c r="C68" s="18"/>
      <c r="D68" s="18"/>
    </row>
    <row r="69" spans="1:4" x14ac:dyDescent="0.25">
      <c r="A69" s="18"/>
      <c r="B69" s="18"/>
      <c r="C69" s="18"/>
      <c r="D69" s="18"/>
    </row>
    <row r="70" spans="1:4" x14ac:dyDescent="0.25">
      <c r="A70" s="18"/>
      <c r="B70" s="18"/>
      <c r="C70" s="18"/>
      <c r="D70" s="18"/>
    </row>
    <row r="71" spans="1:4" x14ac:dyDescent="0.25">
      <c r="A71" s="18"/>
      <c r="B71" s="18"/>
      <c r="C71" s="18"/>
      <c r="D71" s="18"/>
    </row>
    <row r="72" spans="1:4" x14ac:dyDescent="0.25">
      <c r="A72" s="18"/>
      <c r="B72" s="18"/>
      <c r="C72" s="18"/>
      <c r="D72" s="1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05759-ACF3-483B-BC73-06F4EA72E492}">
  <sheetPr codeName="Sheet1"/>
  <dimension ref="A1:AD66"/>
  <sheetViews>
    <sheetView tabSelected="1" zoomScale="85" zoomScaleNormal="85" workbookViewId="0">
      <selection activeCell="K4" sqref="K4"/>
    </sheetView>
  </sheetViews>
  <sheetFormatPr defaultRowHeight="15" x14ac:dyDescent="0.25"/>
  <cols>
    <col min="1" max="1" width="13.28515625" customWidth="1"/>
    <col min="4" max="4" width="9.42578125" customWidth="1"/>
    <col min="11" max="11" width="17.5703125" customWidth="1"/>
    <col min="12" max="12" width="17.42578125" customWidth="1"/>
    <col min="13" max="13" width="17.85546875" customWidth="1"/>
    <col min="14" max="14" width="19" customWidth="1"/>
    <col min="15" max="15" width="12.140625" customWidth="1"/>
    <col min="21" max="21" width="10.28515625" customWidth="1"/>
    <col min="30" max="30" width="139.42578125" bestFit="1" customWidth="1"/>
  </cols>
  <sheetData>
    <row r="1" spans="1:30" x14ac:dyDescent="0.25">
      <c r="A1" t="s">
        <v>107</v>
      </c>
    </row>
    <row r="3" spans="1:30" ht="15.75" x14ac:dyDescent="0.25">
      <c r="A3" s="39" t="s">
        <v>108</v>
      </c>
      <c r="B3" s="40" t="s">
        <v>109</v>
      </c>
      <c r="C3" s="40" t="s">
        <v>110</v>
      </c>
      <c r="D3" s="40" t="s">
        <v>111</v>
      </c>
      <c r="E3" s="40" t="s">
        <v>112</v>
      </c>
      <c r="F3" s="40" t="s">
        <v>113</v>
      </c>
      <c r="G3" s="40" t="s">
        <v>114</v>
      </c>
      <c r="H3" s="40" t="s">
        <v>115</v>
      </c>
      <c r="I3" s="40" t="s">
        <v>116</v>
      </c>
      <c r="J3" s="40" t="s">
        <v>117</v>
      </c>
      <c r="K3" s="40" t="s">
        <v>118</v>
      </c>
      <c r="L3" s="40" t="s">
        <v>119</v>
      </c>
      <c r="M3" s="40" t="s">
        <v>120</v>
      </c>
      <c r="N3" s="40" t="s">
        <v>121</v>
      </c>
      <c r="O3" s="40" t="s">
        <v>122</v>
      </c>
      <c r="X3" s="1"/>
    </row>
    <row r="4" spans="1:30" ht="15.75" x14ac:dyDescent="0.25">
      <c r="A4" s="38" t="s">
        <v>123</v>
      </c>
      <c r="B4" s="33">
        <v>4</v>
      </c>
      <c r="C4" s="33">
        <v>5</v>
      </c>
      <c r="D4" s="33">
        <v>5</v>
      </c>
      <c r="E4" s="33">
        <v>5</v>
      </c>
      <c r="F4" s="33">
        <v>5</v>
      </c>
      <c r="G4" s="33">
        <v>5</v>
      </c>
      <c r="H4" s="33">
        <v>5</v>
      </c>
      <c r="I4" s="33">
        <f>SUM(B4:H4)</f>
        <v>34</v>
      </c>
      <c r="J4" s="23">
        <v>35</v>
      </c>
      <c r="K4" s="34">
        <f>Findings!J2/Findings!J6</f>
        <v>0.40065146579804561</v>
      </c>
      <c r="L4" s="35">
        <f>I4/J4</f>
        <v>0.97142857142857142</v>
      </c>
      <c r="M4" s="35">
        <f t="shared" ref="M4:M7" si="0">(1 - N4)</f>
        <v>0.22889716147045136</v>
      </c>
      <c r="N4" s="35">
        <f>IF((L4-K4/2) &lt; 0.05, 0.05, (L4-K4/2))</f>
        <v>0.77110283852954864</v>
      </c>
      <c r="O4" s="36" t="str" cm="1">
        <f t="array" ref="O4">IF(M4&gt;N4,Potential issues identified,"OK")</f>
        <v>OK</v>
      </c>
      <c r="X4" s="2"/>
    </row>
    <row r="5" spans="1:30" ht="15.75" x14ac:dyDescent="0.25">
      <c r="A5" s="38" t="s">
        <v>106</v>
      </c>
      <c r="B5" s="33">
        <v>4</v>
      </c>
      <c r="C5" s="33">
        <v>5</v>
      </c>
      <c r="D5" s="33">
        <v>5</v>
      </c>
      <c r="E5" s="33">
        <v>5</v>
      </c>
      <c r="F5" s="33">
        <v>5</v>
      </c>
      <c r="G5" s="33">
        <v>5</v>
      </c>
      <c r="H5" s="33">
        <v>5</v>
      </c>
      <c r="I5" s="33">
        <f>SUM(B5:H5)</f>
        <v>34</v>
      </c>
      <c r="J5" s="23">
        <v>35</v>
      </c>
      <c r="K5" s="34">
        <f>Findings!J3/Findings!J6</f>
        <v>0.57003257328990231</v>
      </c>
      <c r="L5" s="35">
        <f>I5/J5</f>
        <v>0.97142857142857142</v>
      </c>
      <c r="M5" s="35">
        <f t="shared" si="0"/>
        <v>0.31358771521637974</v>
      </c>
      <c r="N5" s="35">
        <f t="shared" ref="N5" si="1">IF((L5-K5/2) &lt; 0.05, 0.05, (L5-K5/2))</f>
        <v>0.68641228478362026</v>
      </c>
      <c r="O5" s="36" t="str" cm="1">
        <f t="array" ref="O5">IF(M5&gt;N5,Potential issues identified,"OK")</f>
        <v>OK</v>
      </c>
      <c r="X5" s="2"/>
      <c r="Y5" s="3"/>
      <c r="Z5" s="3"/>
      <c r="AA5" s="3"/>
      <c r="AB5" s="3"/>
      <c r="AC5" s="3"/>
    </row>
    <row r="6" spans="1:30" ht="15.75" x14ac:dyDescent="0.25">
      <c r="A6" s="38" t="s">
        <v>89</v>
      </c>
      <c r="B6" s="33">
        <v>3</v>
      </c>
      <c r="C6" s="33">
        <v>5</v>
      </c>
      <c r="D6" s="33">
        <v>5</v>
      </c>
      <c r="E6" s="33">
        <v>5</v>
      </c>
      <c r="F6" s="37" t="s">
        <v>124</v>
      </c>
      <c r="G6" s="37" t="s">
        <v>124</v>
      </c>
      <c r="H6" s="37" t="s">
        <v>124</v>
      </c>
      <c r="I6" s="33">
        <f>SUM(B6:E6)</f>
        <v>18</v>
      </c>
      <c r="J6" s="23">
        <v>20</v>
      </c>
      <c r="K6" s="34">
        <f>Findings!J4/Findings!J6</f>
        <v>1.3029315960912053E-2</v>
      </c>
      <c r="L6" s="35">
        <f>I6/J6</f>
        <v>0.9</v>
      </c>
      <c r="M6" s="35">
        <f t="shared" si="0"/>
        <v>0.10651465798045601</v>
      </c>
      <c r="N6" s="35">
        <f>IF((L6-(K6/2)) &lt; 0.05, 0.05, (L6-K6/2))</f>
        <v>0.89348534201954399</v>
      </c>
      <c r="O6" s="36" t="str" cm="1">
        <f t="array" ref="O6">IF(M6&gt;N6,Potential issues identified,"OK")</f>
        <v>OK</v>
      </c>
      <c r="X6" s="2"/>
    </row>
    <row r="7" spans="1:30" ht="15.75" x14ac:dyDescent="0.25">
      <c r="A7" s="38" t="s">
        <v>125</v>
      </c>
      <c r="B7" s="33">
        <v>5</v>
      </c>
      <c r="C7" s="33">
        <v>5</v>
      </c>
      <c r="D7" s="33">
        <v>3</v>
      </c>
      <c r="E7" s="33">
        <v>5</v>
      </c>
      <c r="F7" s="37" t="s">
        <v>124</v>
      </c>
      <c r="G7" s="37" t="s">
        <v>124</v>
      </c>
      <c r="H7" s="37" t="s">
        <v>124</v>
      </c>
      <c r="I7" s="33">
        <f>SUM(B7:E7)</f>
        <v>18</v>
      </c>
      <c r="J7" s="23">
        <v>20</v>
      </c>
      <c r="K7" s="34">
        <f>Findings!J5/Findings!J6</f>
        <v>1.6286644951140065E-2</v>
      </c>
      <c r="L7" s="35">
        <f>I7/J7</f>
        <v>0.9</v>
      </c>
      <c r="M7" s="35">
        <f t="shared" si="0"/>
        <v>0.16514657980456027</v>
      </c>
      <c r="N7" s="35">
        <f>IF((L7-(K7/2)) &lt; 0.05, 0.05, (L7-K7*4))</f>
        <v>0.83485342019543973</v>
      </c>
      <c r="O7" s="36" t="str" cm="1">
        <f t="array" ref="O7">IF(M7&gt;N7,Potential issues identified,"OK")</f>
        <v>OK</v>
      </c>
      <c r="X7" s="2"/>
      <c r="Y7" s="3"/>
      <c r="Z7" s="3"/>
      <c r="AA7" s="3"/>
      <c r="AB7" s="3"/>
      <c r="AC7" s="3"/>
    </row>
    <row r="8" spans="1:30" ht="15.75" x14ac:dyDescent="0.25">
      <c r="A8" s="4"/>
      <c r="X8" s="2"/>
    </row>
    <row r="9" spans="1:30" ht="15.75" x14ac:dyDescent="0.25">
      <c r="A9" s="1" t="s">
        <v>126</v>
      </c>
      <c r="AD9" s="19"/>
    </row>
    <row r="10" spans="1:30" x14ac:dyDescent="0.25">
      <c r="A10" s="2" t="s">
        <v>109</v>
      </c>
      <c r="B10" t="s">
        <v>127</v>
      </c>
    </row>
    <row r="11" spans="1:30" x14ac:dyDescent="0.25">
      <c r="A11" s="2" t="s">
        <v>128</v>
      </c>
      <c r="B11" s="3"/>
      <c r="C11" s="3"/>
      <c r="D11" s="3"/>
      <c r="E11" s="3"/>
      <c r="F11" s="3"/>
      <c r="G11" s="3"/>
      <c r="H11" s="3"/>
      <c r="I11" s="3"/>
      <c r="J11" s="3"/>
    </row>
    <row r="12" spans="1:30" x14ac:dyDescent="0.25">
      <c r="A12" s="2" t="s">
        <v>110</v>
      </c>
      <c r="B12" t="s">
        <v>129</v>
      </c>
    </row>
    <row r="13" spans="1:30" x14ac:dyDescent="0.25">
      <c r="A13" s="2" t="s">
        <v>130</v>
      </c>
      <c r="B13" s="3"/>
      <c r="C13" s="3"/>
      <c r="D13" s="3"/>
      <c r="E13" s="3"/>
      <c r="F13" s="3"/>
      <c r="G13" s="3"/>
      <c r="H13" s="3"/>
      <c r="I13" s="3"/>
      <c r="J13" s="3"/>
    </row>
    <row r="14" spans="1:30" x14ac:dyDescent="0.25">
      <c r="A14" s="2" t="s">
        <v>111</v>
      </c>
      <c r="B14" t="s">
        <v>131</v>
      </c>
    </row>
    <row r="15" spans="1:30" x14ac:dyDescent="0.25">
      <c r="A15" s="2" t="s">
        <v>132</v>
      </c>
      <c r="B15" s="3"/>
      <c r="C15" s="3"/>
      <c r="D15" s="3"/>
      <c r="E15" s="3"/>
      <c r="F15" s="3"/>
      <c r="G15" s="3"/>
      <c r="H15" s="3"/>
      <c r="I15" s="3"/>
      <c r="J15" s="3"/>
    </row>
    <row r="16" spans="1:30" x14ac:dyDescent="0.25">
      <c r="A16" s="2" t="s">
        <v>112</v>
      </c>
      <c r="B16" t="s">
        <v>133</v>
      </c>
    </row>
    <row r="17" spans="1:10" x14ac:dyDescent="0.25">
      <c r="A17" s="2" t="s">
        <v>134</v>
      </c>
      <c r="B17" s="3"/>
      <c r="C17" s="3"/>
      <c r="D17" s="3"/>
      <c r="E17" s="3"/>
      <c r="F17" s="3"/>
      <c r="G17" s="3"/>
      <c r="H17" s="3"/>
      <c r="I17" s="3"/>
      <c r="J17" s="3"/>
    </row>
    <row r="18" spans="1:10" x14ac:dyDescent="0.25">
      <c r="A18" s="2" t="s">
        <v>113</v>
      </c>
      <c r="B18" t="s">
        <v>135</v>
      </c>
      <c r="C18" s="3"/>
      <c r="D18" s="3"/>
      <c r="E18" s="3"/>
      <c r="F18" s="3"/>
      <c r="G18" s="3"/>
      <c r="H18" s="3"/>
      <c r="I18" s="3"/>
      <c r="J18" s="3"/>
    </row>
    <row r="19" spans="1:10" x14ac:dyDescent="0.25">
      <c r="A19" s="2" t="s">
        <v>136</v>
      </c>
      <c r="B19" s="3"/>
      <c r="C19" s="3"/>
      <c r="D19" s="3"/>
      <c r="E19" s="3"/>
      <c r="F19" s="3"/>
      <c r="G19" s="3"/>
      <c r="H19" s="3"/>
      <c r="I19" s="3"/>
      <c r="J19" s="3"/>
    </row>
    <row r="20" spans="1:10" x14ac:dyDescent="0.25">
      <c r="A20" s="2" t="s">
        <v>114</v>
      </c>
      <c r="B20" t="s">
        <v>137</v>
      </c>
      <c r="C20" s="3"/>
      <c r="D20" s="3"/>
      <c r="E20" s="3"/>
      <c r="F20" s="3"/>
      <c r="G20" s="3"/>
      <c r="H20" s="3"/>
      <c r="I20" s="3"/>
      <c r="J20" s="3"/>
    </row>
    <row r="21" spans="1:10" x14ac:dyDescent="0.25">
      <c r="A21" s="2" t="s">
        <v>138</v>
      </c>
      <c r="B21" s="3"/>
      <c r="C21" s="3"/>
      <c r="D21" s="3"/>
      <c r="E21" s="3"/>
      <c r="F21" s="3"/>
      <c r="G21" s="3"/>
      <c r="H21" s="3"/>
      <c r="I21" s="3"/>
      <c r="J21" s="3"/>
    </row>
    <row r="22" spans="1:10" x14ac:dyDescent="0.25">
      <c r="A22" s="2" t="s">
        <v>115</v>
      </c>
      <c r="B22" s="30" t="s">
        <v>139</v>
      </c>
      <c r="C22" s="3"/>
      <c r="D22" s="3"/>
      <c r="E22" s="3"/>
      <c r="F22" s="3"/>
      <c r="G22" s="3"/>
      <c r="H22" s="3"/>
      <c r="I22" s="3"/>
      <c r="J22" s="3"/>
    </row>
    <row r="23" spans="1:10" x14ac:dyDescent="0.25">
      <c r="A23" s="2" t="s">
        <v>140</v>
      </c>
      <c r="B23" s="3"/>
      <c r="C23" s="3"/>
      <c r="D23" s="3"/>
      <c r="E23" s="3"/>
      <c r="F23" s="3"/>
      <c r="G23" s="3"/>
      <c r="H23" s="3"/>
      <c r="I23" s="3"/>
      <c r="J23" s="3"/>
    </row>
    <row r="24" spans="1:10" x14ac:dyDescent="0.25">
      <c r="A24" s="2"/>
      <c r="B24" s="3"/>
      <c r="C24" s="3"/>
      <c r="D24" s="3"/>
      <c r="E24" s="3"/>
      <c r="F24" s="3"/>
      <c r="G24" s="3"/>
      <c r="H24" s="3"/>
      <c r="I24" s="3"/>
      <c r="J24" s="3"/>
    </row>
    <row r="25" spans="1:10" ht="15.75" x14ac:dyDescent="0.25">
      <c r="A25" s="1" t="s">
        <v>141</v>
      </c>
    </row>
    <row r="26" spans="1:10" x14ac:dyDescent="0.25">
      <c r="A26" s="2" t="s">
        <v>109</v>
      </c>
      <c r="B26" t="s">
        <v>142</v>
      </c>
    </row>
    <row r="27" spans="1:10" x14ac:dyDescent="0.25">
      <c r="A27" s="2"/>
      <c r="B27" t="s">
        <v>143</v>
      </c>
    </row>
    <row r="28" spans="1:10" x14ac:dyDescent="0.25">
      <c r="A28" s="2" t="s">
        <v>128</v>
      </c>
      <c r="B28" s="3" t="s">
        <v>144</v>
      </c>
      <c r="C28" s="3" t="s">
        <v>145</v>
      </c>
      <c r="D28" s="3" t="s">
        <v>146</v>
      </c>
      <c r="E28" s="3" t="s">
        <v>147</v>
      </c>
      <c r="F28" s="3" t="s">
        <v>148</v>
      </c>
      <c r="G28" s="3"/>
      <c r="H28" s="3"/>
      <c r="I28" s="3"/>
      <c r="J28" s="3"/>
    </row>
    <row r="29" spans="1:10" x14ac:dyDescent="0.25">
      <c r="A29" s="2" t="s">
        <v>110</v>
      </c>
      <c r="B29" t="s">
        <v>149</v>
      </c>
    </row>
    <row r="30" spans="1:10" x14ac:dyDescent="0.25">
      <c r="A30" s="2"/>
      <c r="B30" t="s">
        <v>150</v>
      </c>
    </row>
    <row r="31" spans="1:10" x14ac:dyDescent="0.25">
      <c r="A31" s="2" t="s">
        <v>130</v>
      </c>
      <c r="B31" s="3" t="s">
        <v>144</v>
      </c>
      <c r="C31" s="3" t="s">
        <v>145</v>
      </c>
      <c r="D31" s="3" t="s">
        <v>146</v>
      </c>
      <c r="E31" s="3" t="s">
        <v>147</v>
      </c>
      <c r="F31" s="3" t="s">
        <v>148</v>
      </c>
      <c r="G31" s="3"/>
      <c r="H31" s="3"/>
      <c r="I31" s="3"/>
      <c r="J31" s="3"/>
    </row>
    <row r="32" spans="1:10" x14ac:dyDescent="0.25">
      <c r="A32" s="2" t="s">
        <v>111</v>
      </c>
      <c r="B32" t="s">
        <v>151</v>
      </c>
    </row>
    <row r="33" spans="1:10" x14ac:dyDescent="0.25">
      <c r="A33" s="2"/>
      <c r="B33" t="s">
        <v>152</v>
      </c>
    </row>
    <row r="34" spans="1:10" x14ac:dyDescent="0.25">
      <c r="A34" s="2" t="s">
        <v>132</v>
      </c>
      <c r="B34" s="3" t="s">
        <v>144</v>
      </c>
      <c r="C34" s="3" t="s">
        <v>145</v>
      </c>
      <c r="D34" s="3" t="s">
        <v>146</v>
      </c>
      <c r="E34" s="3" t="s">
        <v>147</v>
      </c>
      <c r="F34" s="3" t="s">
        <v>148</v>
      </c>
      <c r="G34" s="3"/>
      <c r="H34" s="3"/>
      <c r="I34" s="3"/>
      <c r="J34" s="3"/>
    </row>
    <row r="35" spans="1:10" x14ac:dyDescent="0.25">
      <c r="A35" s="2" t="s">
        <v>112</v>
      </c>
      <c r="B35" t="s">
        <v>153</v>
      </c>
    </row>
    <row r="36" spans="1:10" x14ac:dyDescent="0.25">
      <c r="A36" s="2" t="s">
        <v>134</v>
      </c>
      <c r="B36" s="3" t="s">
        <v>144</v>
      </c>
      <c r="C36" s="3" t="s">
        <v>145</v>
      </c>
      <c r="D36" s="3" t="s">
        <v>146</v>
      </c>
      <c r="E36" s="3" t="s">
        <v>147</v>
      </c>
      <c r="F36" s="3" t="s">
        <v>148</v>
      </c>
      <c r="G36" s="3"/>
      <c r="H36" s="3"/>
      <c r="I36" s="3"/>
      <c r="J36" s="3"/>
    </row>
    <row r="37" spans="1:10" x14ac:dyDescent="0.25">
      <c r="A37" s="8" t="s">
        <v>113</v>
      </c>
      <c r="B37" t="s">
        <v>154</v>
      </c>
    </row>
    <row r="38" spans="1:10" x14ac:dyDescent="0.25">
      <c r="A38" s="8"/>
      <c r="B38" t="s">
        <v>155</v>
      </c>
    </row>
    <row r="39" spans="1:10" x14ac:dyDescent="0.25">
      <c r="A39" s="8" t="s">
        <v>136</v>
      </c>
      <c r="B39" s="3" t="s">
        <v>144</v>
      </c>
      <c r="C39" s="3" t="s">
        <v>145</v>
      </c>
      <c r="D39" s="3" t="s">
        <v>146</v>
      </c>
      <c r="E39" s="3" t="s">
        <v>147</v>
      </c>
      <c r="F39" s="3" t="s">
        <v>148</v>
      </c>
      <c r="G39" s="3"/>
      <c r="H39" s="3"/>
      <c r="I39" s="3"/>
      <c r="J39" s="3"/>
    </row>
    <row r="40" spans="1:10" x14ac:dyDescent="0.25">
      <c r="A40" s="8" t="s">
        <v>114</v>
      </c>
      <c r="B40" t="s">
        <v>156</v>
      </c>
    </row>
    <row r="41" spans="1:10" x14ac:dyDescent="0.25">
      <c r="A41" s="8"/>
      <c r="B41" t="s">
        <v>157</v>
      </c>
    </row>
    <row r="42" spans="1:10" x14ac:dyDescent="0.25">
      <c r="A42" s="8" t="s">
        <v>138</v>
      </c>
      <c r="B42" s="3" t="s">
        <v>144</v>
      </c>
      <c r="C42" s="3" t="s">
        <v>145</v>
      </c>
      <c r="D42" s="3" t="s">
        <v>146</v>
      </c>
      <c r="E42" s="3" t="s">
        <v>147</v>
      </c>
      <c r="F42" s="3" t="s">
        <v>148</v>
      </c>
      <c r="G42" s="3"/>
      <c r="H42" s="3"/>
      <c r="I42" s="3"/>
      <c r="J42" s="3"/>
    </row>
    <row r="43" spans="1:10" x14ac:dyDescent="0.25">
      <c r="A43" s="8" t="s">
        <v>115</v>
      </c>
      <c r="B43" t="s">
        <v>158</v>
      </c>
    </row>
    <row r="44" spans="1:10" x14ac:dyDescent="0.25">
      <c r="A44" s="8"/>
      <c r="B44" t="s">
        <v>159</v>
      </c>
    </row>
    <row r="45" spans="1:10" x14ac:dyDescent="0.25">
      <c r="A45" s="8" t="s">
        <v>140</v>
      </c>
      <c r="B45" s="3" t="s">
        <v>144</v>
      </c>
      <c r="C45" s="3" t="s">
        <v>145</v>
      </c>
      <c r="D45" s="3" t="s">
        <v>146</v>
      </c>
      <c r="E45" s="3" t="s">
        <v>147</v>
      </c>
      <c r="F45" s="3" t="s">
        <v>148</v>
      </c>
      <c r="G45" s="3"/>
      <c r="H45" s="3"/>
      <c r="I45" s="3"/>
      <c r="J45" s="3"/>
    </row>
    <row r="47" spans="1:10" ht="15.75" x14ac:dyDescent="0.25">
      <c r="A47" s="1" t="s">
        <v>160</v>
      </c>
    </row>
    <row r="48" spans="1:10" x14ac:dyDescent="0.25">
      <c r="A48" s="2" t="s">
        <v>109</v>
      </c>
      <c r="B48" t="s">
        <v>161</v>
      </c>
    </row>
    <row r="49" spans="1:26" x14ac:dyDescent="0.25">
      <c r="A49" s="2" t="s">
        <v>128</v>
      </c>
      <c r="B49" s="3" t="s">
        <v>144</v>
      </c>
      <c r="C49" s="3" t="s">
        <v>145</v>
      </c>
      <c r="D49" s="3" t="s">
        <v>146</v>
      </c>
      <c r="E49" s="3" t="s">
        <v>147</v>
      </c>
      <c r="F49" s="3" t="s">
        <v>148</v>
      </c>
      <c r="G49" s="3"/>
      <c r="H49" s="3"/>
      <c r="I49" s="3"/>
      <c r="J49" s="3"/>
    </row>
    <row r="50" spans="1:26" x14ac:dyDescent="0.25">
      <c r="A50" s="2" t="s">
        <v>110</v>
      </c>
      <c r="B50" t="s">
        <v>162</v>
      </c>
    </row>
    <row r="51" spans="1:26" x14ac:dyDescent="0.25">
      <c r="A51" s="2" t="s">
        <v>130</v>
      </c>
      <c r="B51" s="3" t="s">
        <v>144</v>
      </c>
      <c r="C51" s="3" t="s">
        <v>145</v>
      </c>
      <c r="D51" s="3" t="s">
        <v>146</v>
      </c>
      <c r="E51" s="3" t="s">
        <v>147</v>
      </c>
      <c r="F51" s="3" t="s">
        <v>148</v>
      </c>
      <c r="G51" s="3"/>
      <c r="H51" s="3"/>
      <c r="I51" s="3"/>
      <c r="J51" s="3"/>
    </row>
    <row r="52" spans="1:26" x14ac:dyDescent="0.25">
      <c r="A52" s="2" t="s">
        <v>111</v>
      </c>
      <c r="B52" t="s">
        <v>163</v>
      </c>
    </row>
    <row r="53" spans="1:26" x14ac:dyDescent="0.25">
      <c r="A53" s="2" t="s">
        <v>132</v>
      </c>
      <c r="B53" s="3" t="s">
        <v>144</v>
      </c>
      <c r="C53" s="3" t="s">
        <v>145</v>
      </c>
      <c r="D53" s="3" t="s">
        <v>146</v>
      </c>
      <c r="E53" s="3" t="s">
        <v>147</v>
      </c>
      <c r="F53" s="3" t="s">
        <v>148</v>
      </c>
      <c r="G53" s="3"/>
      <c r="H53" s="3"/>
      <c r="I53" s="3"/>
      <c r="J53" s="3"/>
    </row>
    <row r="54" spans="1:26" x14ac:dyDescent="0.25">
      <c r="A54" s="2" t="s">
        <v>112</v>
      </c>
      <c r="B54" t="s">
        <v>164</v>
      </c>
    </row>
    <row r="55" spans="1:26" x14ac:dyDescent="0.25">
      <c r="A55" s="2" t="s">
        <v>134</v>
      </c>
      <c r="B55" s="3" t="s">
        <v>144</v>
      </c>
      <c r="C55" s="3" t="s">
        <v>145</v>
      </c>
      <c r="D55" s="3" t="s">
        <v>146</v>
      </c>
      <c r="E55" s="3" t="s">
        <v>147</v>
      </c>
      <c r="F55" s="3" t="s">
        <v>148</v>
      </c>
      <c r="G55" s="3"/>
      <c r="H55" s="3"/>
      <c r="I55" s="3"/>
      <c r="J55" s="3"/>
    </row>
    <row r="57" spans="1:26" ht="15.75" x14ac:dyDescent="0.25">
      <c r="A57" s="6" t="s">
        <v>165</v>
      </c>
      <c r="B57" s="7"/>
      <c r="C57" s="7"/>
      <c r="D57" s="7"/>
      <c r="E57" s="7"/>
      <c r="F57" s="7"/>
      <c r="G57" s="7"/>
      <c r="H57" s="7"/>
      <c r="I57" s="7"/>
      <c r="J57" s="7"/>
      <c r="K57" s="7"/>
      <c r="L57" s="7"/>
      <c r="M57" s="7"/>
      <c r="N57" s="7"/>
      <c r="O57" s="7"/>
      <c r="P57" s="7"/>
      <c r="Q57" s="7"/>
      <c r="R57" s="7"/>
      <c r="S57" s="7"/>
      <c r="T57" s="7"/>
    </row>
    <row r="58" spans="1:26" x14ac:dyDescent="0.25">
      <c r="A58" s="2" t="s">
        <v>109</v>
      </c>
      <c r="B58" t="s">
        <v>166</v>
      </c>
      <c r="Y58" s="5"/>
      <c r="Z58" s="5"/>
    </row>
    <row r="59" spans="1:26" x14ac:dyDescent="0.25">
      <c r="A59" s="2" t="s">
        <v>128</v>
      </c>
      <c r="B59" s="3" t="s">
        <v>144</v>
      </c>
      <c r="C59" s="3" t="s">
        <v>145</v>
      </c>
      <c r="D59" s="3" t="s">
        <v>146</v>
      </c>
      <c r="E59" s="3" t="s">
        <v>147</v>
      </c>
      <c r="F59" s="3" t="s">
        <v>148</v>
      </c>
      <c r="G59" s="3"/>
      <c r="H59" s="3"/>
      <c r="I59" s="3"/>
      <c r="J59" s="3"/>
      <c r="Y59" s="5"/>
      <c r="Z59" s="5"/>
    </row>
    <row r="60" spans="1:26" x14ac:dyDescent="0.25">
      <c r="A60" s="8" t="s">
        <v>110</v>
      </c>
      <c r="B60" s="7" t="s">
        <v>167</v>
      </c>
      <c r="C60" s="7"/>
      <c r="D60" s="7"/>
      <c r="E60" s="7"/>
      <c r="F60" s="7"/>
      <c r="G60" s="7"/>
      <c r="H60" s="7"/>
      <c r="I60" s="7"/>
      <c r="J60" s="7"/>
      <c r="K60" s="7"/>
      <c r="L60" s="7"/>
      <c r="M60" s="7"/>
      <c r="N60" s="7"/>
      <c r="O60" s="7"/>
      <c r="P60" s="7"/>
      <c r="Q60" s="7"/>
      <c r="R60" s="7"/>
      <c r="S60" s="7"/>
      <c r="T60" s="7"/>
    </row>
    <row r="61" spans="1:26" x14ac:dyDescent="0.25">
      <c r="A61" s="8"/>
      <c r="B61" s="7" t="s">
        <v>168</v>
      </c>
      <c r="C61" s="7"/>
      <c r="D61" s="7"/>
      <c r="E61" s="7"/>
      <c r="F61" s="7"/>
      <c r="G61" s="7"/>
      <c r="H61" s="7"/>
      <c r="I61" s="7"/>
      <c r="J61" s="7"/>
      <c r="K61" s="7"/>
      <c r="L61" s="7"/>
      <c r="M61" s="7"/>
      <c r="N61" s="7"/>
      <c r="O61" s="7"/>
      <c r="P61" s="7"/>
      <c r="Q61" s="7"/>
      <c r="R61" s="7"/>
      <c r="S61" s="7"/>
      <c r="T61" s="7"/>
    </row>
    <row r="62" spans="1:26" x14ac:dyDescent="0.25">
      <c r="A62" s="8" t="s">
        <v>130</v>
      </c>
      <c r="B62" s="20" t="s">
        <v>144</v>
      </c>
      <c r="C62" s="20" t="s">
        <v>145</v>
      </c>
      <c r="D62" s="20" t="s">
        <v>146</v>
      </c>
      <c r="E62" s="20" t="s">
        <v>147</v>
      </c>
      <c r="F62" s="20" t="s">
        <v>148</v>
      </c>
      <c r="G62" s="20"/>
      <c r="H62" s="20"/>
      <c r="I62" s="20"/>
      <c r="J62" s="20"/>
      <c r="K62" s="7"/>
      <c r="L62" s="7"/>
      <c r="M62" s="7"/>
      <c r="N62" s="7"/>
      <c r="O62" s="7"/>
      <c r="P62" s="7"/>
      <c r="Q62" s="7"/>
      <c r="R62" s="7"/>
      <c r="S62" s="7"/>
      <c r="T62" s="7"/>
    </row>
    <row r="63" spans="1:26" x14ac:dyDescent="0.25">
      <c r="A63" s="2" t="s">
        <v>111</v>
      </c>
      <c r="B63" t="s">
        <v>169</v>
      </c>
    </row>
    <row r="64" spans="1:26" x14ac:dyDescent="0.25">
      <c r="A64" s="2" t="s">
        <v>132</v>
      </c>
      <c r="B64" s="3" t="s">
        <v>144</v>
      </c>
      <c r="C64" s="3" t="s">
        <v>145</v>
      </c>
      <c r="D64" s="3" t="s">
        <v>146</v>
      </c>
      <c r="E64" s="3" t="s">
        <v>147</v>
      </c>
      <c r="F64" s="3" t="s">
        <v>148</v>
      </c>
      <c r="G64" s="3"/>
      <c r="H64" s="3"/>
      <c r="I64" s="3"/>
      <c r="J64" s="3"/>
    </row>
    <row r="65" spans="1:10" x14ac:dyDescent="0.25">
      <c r="A65" s="2" t="s">
        <v>112</v>
      </c>
      <c r="B65" t="s">
        <v>170</v>
      </c>
    </row>
    <row r="66" spans="1:10" x14ac:dyDescent="0.25">
      <c r="A66" s="2" t="s">
        <v>134</v>
      </c>
      <c r="B66" s="3" t="s">
        <v>144</v>
      </c>
      <c r="C66" s="3" t="s">
        <v>145</v>
      </c>
      <c r="D66" s="3" t="s">
        <v>146</v>
      </c>
      <c r="E66" s="3" t="s">
        <v>147</v>
      </c>
      <c r="F66" s="3" t="s">
        <v>148</v>
      </c>
      <c r="G66" s="3"/>
      <c r="H66" s="3"/>
      <c r="I66" s="3"/>
      <c r="J66" s="3"/>
    </row>
  </sheetData>
  <phoneticPr fontId="18"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8" r:id="rId4" name="Button1">
              <controlPr defaultSize="0" print="0" autoFill="0" autoPict="0" macro="[0]!Button1_Click">
                <anchor moveWithCells="1">
                  <from>
                    <xdr:col>1</xdr:col>
                    <xdr:colOff>9525</xdr:colOff>
                    <xdr:row>10</xdr:row>
                    <xdr:rowOff>9525</xdr:rowOff>
                  </from>
                  <to>
                    <xdr:col>2</xdr:col>
                    <xdr:colOff>0</xdr:colOff>
                    <xdr:row>11</xdr:row>
                    <xdr:rowOff>28575</xdr:rowOff>
                  </to>
                </anchor>
              </controlPr>
            </control>
          </mc:Choice>
        </mc:AlternateContent>
        <mc:AlternateContent xmlns:mc="http://schemas.openxmlformats.org/markup-compatibility/2006">
          <mc:Choice Requires="x14">
            <control shapeId="1069" r:id="rId5" name="Button 45">
              <controlPr defaultSize="0" print="0" autoFill="0" autoPict="0" macro="[0]!Button2_Click">
                <anchor moveWithCells="1">
                  <from>
                    <xdr:col>1</xdr:col>
                    <xdr:colOff>600075</xdr:colOff>
                    <xdr:row>9</xdr:row>
                    <xdr:rowOff>171450</xdr:rowOff>
                  </from>
                  <to>
                    <xdr:col>3</xdr:col>
                    <xdr:colOff>47625</xdr:colOff>
                    <xdr:row>11</xdr:row>
                    <xdr:rowOff>28575</xdr:rowOff>
                  </to>
                </anchor>
              </controlPr>
            </control>
          </mc:Choice>
        </mc:AlternateContent>
        <mc:AlternateContent xmlns:mc="http://schemas.openxmlformats.org/markup-compatibility/2006">
          <mc:Choice Requires="x14">
            <control shapeId="1070" r:id="rId6" name="Button 46">
              <controlPr defaultSize="0" print="0" autoFill="0" autoPict="0" macro="[0]!Button3_Click">
                <anchor moveWithCells="1">
                  <from>
                    <xdr:col>3</xdr:col>
                    <xdr:colOff>57150</xdr:colOff>
                    <xdr:row>9</xdr:row>
                    <xdr:rowOff>171450</xdr:rowOff>
                  </from>
                  <to>
                    <xdr:col>4</xdr:col>
                    <xdr:colOff>0</xdr:colOff>
                    <xdr:row>11</xdr:row>
                    <xdr:rowOff>19050</xdr:rowOff>
                  </to>
                </anchor>
              </controlPr>
            </control>
          </mc:Choice>
        </mc:AlternateContent>
        <mc:AlternateContent xmlns:mc="http://schemas.openxmlformats.org/markup-compatibility/2006">
          <mc:Choice Requires="x14">
            <control shapeId="1071" r:id="rId7" name="Button 47">
              <controlPr defaultSize="0" print="0" autoFill="0" autoPict="0" macro="[0]!Button4_Click">
                <anchor moveWithCells="1">
                  <from>
                    <xdr:col>4</xdr:col>
                    <xdr:colOff>28575</xdr:colOff>
                    <xdr:row>9</xdr:row>
                    <xdr:rowOff>171450</xdr:rowOff>
                  </from>
                  <to>
                    <xdr:col>4</xdr:col>
                    <xdr:colOff>600075</xdr:colOff>
                    <xdr:row>11</xdr:row>
                    <xdr:rowOff>0</xdr:rowOff>
                  </to>
                </anchor>
              </controlPr>
            </control>
          </mc:Choice>
        </mc:AlternateContent>
        <mc:AlternateContent xmlns:mc="http://schemas.openxmlformats.org/markup-compatibility/2006">
          <mc:Choice Requires="x14">
            <control shapeId="1072" r:id="rId8" name="Button 48">
              <controlPr defaultSize="0" print="0" autoFill="0" autoPict="0" macro="[0]!Button5_Click">
                <anchor moveWithCells="1">
                  <from>
                    <xdr:col>4</xdr:col>
                    <xdr:colOff>600075</xdr:colOff>
                    <xdr:row>9</xdr:row>
                    <xdr:rowOff>161925</xdr:rowOff>
                  </from>
                  <to>
                    <xdr:col>6</xdr:col>
                    <xdr:colOff>171450</xdr:colOff>
                    <xdr:row>11</xdr:row>
                    <xdr:rowOff>0</xdr:rowOff>
                  </to>
                </anchor>
              </controlPr>
            </control>
          </mc:Choice>
        </mc:AlternateContent>
        <mc:AlternateContent xmlns:mc="http://schemas.openxmlformats.org/markup-compatibility/2006">
          <mc:Choice Requires="x14">
            <control shapeId="1074" r:id="rId9" name="Button 50">
              <controlPr defaultSize="0" print="0" autoFill="0" autoPict="0" macro="[0]!Button7_Click">
                <anchor moveWithCells="1">
                  <from>
                    <xdr:col>2</xdr:col>
                    <xdr:colOff>19050</xdr:colOff>
                    <xdr:row>11</xdr:row>
                    <xdr:rowOff>161925</xdr:rowOff>
                  </from>
                  <to>
                    <xdr:col>3</xdr:col>
                    <xdr:colOff>28575</xdr:colOff>
                    <xdr:row>13</xdr:row>
                    <xdr:rowOff>28575</xdr:rowOff>
                  </to>
                </anchor>
              </controlPr>
            </control>
          </mc:Choice>
        </mc:AlternateContent>
        <mc:AlternateContent xmlns:mc="http://schemas.openxmlformats.org/markup-compatibility/2006">
          <mc:Choice Requires="x14">
            <control shapeId="1075" r:id="rId10" name="Button 51">
              <controlPr defaultSize="0" print="0" autoFill="0" autoPict="0" macro="[0]!Button8_Click">
                <anchor moveWithCells="1">
                  <from>
                    <xdr:col>3</xdr:col>
                    <xdr:colOff>28575</xdr:colOff>
                    <xdr:row>11</xdr:row>
                    <xdr:rowOff>171450</xdr:rowOff>
                  </from>
                  <to>
                    <xdr:col>4</xdr:col>
                    <xdr:colOff>0</xdr:colOff>
                    <xdr:row>13</xdr:row>
                    <xdr:rowOff>28575</xdr:rowOff>
                  </to>
                </anchor>
              </controlPr>
            </control>
          </mc:Choice>
        </mc:AlternateContent>
        <mc:AlternateContent xmlns:mc="http://schemas.openxmlformats.org/markup-compatibility/2006">
          <mc:Choice Requires="x14">
            <control shapeId="1076" r:id="rId11" name="Button 52">
              <controlPr defaultSize="0" print="0" autoFill="0" autoPict="0" macro="[0]!Button9_Click">
                <anchor moveWithCells="1">
                  <from>
                    <xdr:col>4</xdr:col>
                    <xdr:colOff>57150</xdr:colOff>
                    <xdr:row>11</xdr:row>
                    <xdr:rowOff>180975</xdr:rowOff>
                  </from>
                  <to>
                    <xdr:col>5</xdr:col>
                    <xdr:colOff>57150</xdr:colOff>
                    <xdr:row>13</xdr:row>
                    <xdr:rowOff>38100</xdr:rowOff>
                  </to>
                </anchor>
              </controlPr>
            </control>
          </mc:Choice>
        </mc:AlternateContent>
        <mc:AlternateContent xmlns:mc="http://schemas.openxmlformats.org/markup-compatibility/2006">
          <mc:Choice Requires="x14">
            <control shapeId="1077" r:id="rId12" name="Button 53">
              <controlPr defaultSize="0" print="0" autoFill="0" autoPict="0" macro="[0]!Button10_Click">
                <anchor moveWithCells="1">
                  <from>
                    <xdr:col>5</xdr:col>
                    <xdr:colOff>57150</xdr:colOff>
                    <xdr:row>11</xdr:row>
                    <xdr:rowOff>171450</xdr:rowOff>
                  </from>
                  <to>
                    <xdr:col>6</xdr:col>
                    <xdr:colOff>200025</xdr:colOff>
                    <xdr:row>13</xdr:row>
                    <xdr:rowOff>19050</xdr:rowOff>
                  </to>
                </anchor>
              </controlPr>
            </control>
          </mc:Choice>
        </mc:AlternateContent>
        <mc:AlternateContent xmlns:mc="http://schemas.openxmlformats.org/markup-compatibility/2006">
          <mc:Choice Requires="x14">
            <control shapeId="1078" r:id="rId13" name="Button 54">
              <controlPr defaultSize="0" print="0" autoFill="0" autoPict="0" macro="[0]!Button11_Click">
                <anchor moveWithCells="1">
                  <from>
                    <xdr:col>0</xdr:col>
                    <xdr:colOff>885825</xdr:colOff>
                    <xdr:row>13</xdr:row>
                    <xdr:rowOff>180975</xdr:rowOff>
                  </from>
                  <to>
                    <xdr:col>1</xdr:col>
                    <xdr:colOff>600075</xdr:colOff>
                    <xdr:row>15</xdr:row>
                    <xdr:rowOff>0</xdr:rowOff>
                  </to>
                </anchor>
              </controlPr>
            </control>
          </mc:Choice>
        </mc:AlternateContent>
        <mc:AlternateContent xmlns:mc="http://schemas.openxmlformats.org/markup-compatibility/2006">
          <mc:Choice Requires="x14">
            <control shapeId="1079" r:id="rId14" name="Button 55">
              <controlPr defaultSize="0" print="0" autoFill="0" autoPict="0" macro="[0]!Button12_Click">
                <anchor moveWithCells="1">
                  <from>
                    <xdr:col>1</xdr:col>
                    <xdr:colOff>600075</xdr:colOff>
                    <xdr:row>13</xdr:row>
                    <xdr:rowOff>180975</xdr:rowOff>
                  </from>
                  <to>
                    <xdr:col>3</xdr:col>
                    <xdr:colOff>9525</xdr:colOff>
                    <xdr:row>15</xdr:row>
                    <xdr:rowOff>9525</xdr:rowOff>
                  </to>
                </anchor>
              </controlPr>
            </control>
          </mc:Choice>
        </mc:AlternateContent>
        <mc:AlternateContent xmlns:mc="http://schemas.openxmlformats.org/markup-compatibility/2006">
          <mc:Choice Requires="x14">
            <control shapeId="1080" r:id="rId15" name="Button 56">
              <controlPr defaultSize="0" print="0" autoFill="0" autoPict="0" macro="[0]!Button13_Click">
                <anchor moveWithCells="1">
                  <from>
                    <xdr:col>3</xdr:col>
                    <xdr:colOff>28575</xdr:colOff>
                    <xdr:row>13</xdr:row>
                    <xdr:rowOff>180975</xdr:rowOff>
                  </from>
                  <to>
                    <xdr:col>4</xdr:col>
                    <xdr:colOff>0</xdr:colOff>
                    <xdr:row>15</xdr:row>
                    <xdr:rowOff>0</xdr:rowOff>
                  </to>
                </anchor>
              </controlPr>
            </control>
          </mc:Choice>
        </mc:AlternateContent>
        <mc:AlternateContent xmlns:mc="http://schemas.openxmlformats.org/markup-compatibility/2006">
          <mc:Choice Requires="x14">
            <control shapeId="1081" r:id="rId16" name="Button 57">
              <controlPr defaultSize="0" print="0" autoFill="0" autoPict="0" macro="[0]!Button14_Click">
                <anchor moveWithCells="1">
                  <from>
                    <xdr:col>4</xdr:col>
                    <xdr:colOff>38100</xdr:colOff>
                    <xdr:row>13</xdr:row>
                    <xdr:rowOff>180975</xdr:rowOff>
                  </from>
                  <to>
                    <xdr:col>5</xdr:col>
                    <xdr:colOff>38100</xdr:colOff>
                    <xdr:row>15</xdr:row>
                    <xdr:rowOff>9525</xdr:rowOff>
                  </to>
                </anchor>
              </controlPr>
            </control>
          </mc:Choice>
        </mc:AlternateContent>
        <mc:AlternateContent xmlns:mc="http://schemas.openxmlformats.org/markup-compatibility/2006">
          <mc:Choice Requires="x14">
            <control shapeId="1082" r:id="rId17" name="Button 58">
              <controlPr defaultSize="0" print="0" autoFill="0" autoPict="0" macro="[0]!Button15_Click">
                <anchor moveWithCells="1">
                  <from>
                    <xdr:col>5</xdr:col>
                    <xdr:colOff>57150</xdr:colOff>
                    <xdr:row>13</xdr:row>
                    <xdr:rowOff>180975</xdr:rowOff>
                  </from>
                  <to>
                    <xdr:col>6</xdr:col>
                    <xdr:colOff>200025</xdr:colOff>
                    <xdr:row>14</xdr:row>
                    <xdr:rowOff>180975</xdr:rowOff>
                  </to>
                </anchor>
              </controlPr>
            </control>
          </mc:Choice>
        </mc:AlternateContent>
        <mc:AlternateContent xmlns:mc="http://schemas.openxmlformats.org/markup-compatibility/2006">
          <mc:Choice Requires="x14">
            <control shapeId="1084" r:id="rId18" name="Button 60">
              <controlPr defaultSize="0" print="0" autoFill="0" autoPict="0" macro="[0]!Button17_Click">
                <anchor moveWithCells="1">
                  <from>
                    <xdr:col>2</xdr:col>
                    <xdr:colOff>9525</xdr:colOff>
                    <xdr:row>16</xdr:row>
                    <xdr:rowOff>0</xdr:rowOff>
                  </from>
                  <to>
                    <xdr:col>3</xdr:col>
                    <xdr:colOff>9525</xdr:colOff>
                    <xdr:row>17</xdr:row>
                    <xdr:rowOff>28575</xdr:rowOff>
                  </to>
                </anchor>
              </controlPr>
            </control>
          </mc:Choice>
        </mc:AlternateContent>
        <mc:AlternateContent xmlns:mc="http://schemas.openxmlformats.org/markup-compatibility/2006">
          <mc:Choice Requires="x14">
            <control shapeId="1085" r:id="rId19" name="Button 61">
              <controlPr defaultSize="0" print="0" autoFill="0" autoPict="0" macro="[0]!Button18_Click">
                <anchor moveWithCells="1">
                  <from>
                    <xdr:col>3</xdr:col>
                    <xdr:colOff>28575</xdr:colOff>
                    <xdr:row>15</xdr:row>
                    <xdr:rowOff>180975</xdr:rowOff>
                  </from>
                  <to>
                    <xdr:col>4</xdr:col>
                    <xdr:colOff>0</xdr:colOff>
                    <xdr:row>17</xdr:row>
                    <xdr:rowOff>28575</xdr:rowOff>
                  </to>
                </anchor>
              </controlPr>
            </control>
          </mc:Choice>
        </mc:AlternateContent>
        <mc:AlternateContent xmlns:mc="http://schemas.openxmlformats.org/markup-compatibility/2006">
          <mc:Choice Requires="x14">
            <control shapeId="1086" r:id="rId20" name="Button 62">
              <controlPr defaultSize="0" print="0" autoFill="0" autoPict="0" macro="[0]!Button19_Click">
                <anchor moveWithCells="1">
                  <from>
                    <xdr:col>4</xdr:col>
                    <xdr:colOff>28575</xdr:colOff>
                    <xdr:row>16</xdr:row>
                    <xdr:rowOff>0</xdr:rowOff>
                  </from>
                  <to>
                    <xdr:col>5</xdr:col>
                    <xdr:colOff>28575</xdr:colOff>
                    <xdr:row>17</xdr:row>
                    <xdr:rowOff>28575</xdr:rowOff>
                  </to>
                </anchor>
              </controlPr>
            </control>
          </mc:Choice>
        </mc:AlternateContent>
        <mc:AlternateContent xmlns:mc="http://schemas.openxmlformats.org/markup-compatibility/2006">
          <mc:Choice Requires="x14">
            <control shapeId="1087" r:id="rId21" name="Button 63">
              <controlPr defaultSize="0" print="0" autoFill="0" autoPict="0" macro="[0]!Button20_Click">
                <anchor moveWithCells="1">
                  <from>
                    <xdr:col>5</xdr:col>
                    <xdr:colOff>47625</xdr:colOff>
                    <xdr:row>15</xdr:row>
                    <xdr:rowOff>180975</xdr:rowOff>
                  </from>
                  <to>
                    <xdr:col>6</xdr:col>
                    <xdr:colOff>190500</xdr:colOff>
                    <xdr:row>17</xdr:row>
                    <xdr:rowOff>28575</xdr:rowOff>
                  </to>
                </anchor>
              </controlPr>
            </control>
          </mc:Choice>
        </mc:AlternateContent>
        <mc:AlternateContent xmlns:mc="http://schemas.openxmlformats.org/markup-compatibility/2006">
          <mc:Choice Requires="x14">
            <control shapeId="1089" r:id="rId22" name="Button 65">
              <controlPr defaultSize="0" print="0" autoFill="0" autoPict="0" macro="[0]!Button21_Click">
                <anchor moveWithCells="1">
                  <from>
                    <xdr:col>0</xdr:col>
                    <xdr:colOff>866775</xdr:colOff>
                    <xdr:row>27</xdr:row>
                    <xdr:rowOff>0</xdr:rowOff>
                  </from>
                  <to>
                    <xdr:col>1</xdr:col>
                    <xdr:colOff>590550</xdr:colOff>
                    <xdr:row>28</xdr:row>
                    <xdr:rowOff>0</xdr:rowOff>
                  </to>
                </anchor>
              </controlPr>
            </control>
          </mc:Choice>
        </mc:AlternateContent>
        <mc:AlternateContent xmlns:mc="http://schemas.openxmlformats.org/markup-compatibility/2006">
          <mc:Choice Requires="x14">
            <control shapeId="1090" r:id="rId23" name="Button 66">
              <controlPr defaultSize="0" print="0" autoFill="0" autoPict="0" macro="[0]!Button22_Click">
                <anchor moveWithCells="1">
                  <from>
                    <xdr:col>2</xdr:col>
                    <xdr:colOff>0</xdr:colOff>
                    <xdr:row>26</xdr:row>
                    <xdr:rowOff>171450</xdr:rowOff>
                  </from>
                  <to>
                    <xdr:col>3</xdr:col>
                    <xdr:colOff>0</xdr:colOff>
                    <xdr:row>28</xdr:row>
                    <xdr:rowOff>9525</xdr:rowOff>
                  </to>
                </anchor>
              </controlPr>
            </control>
          </mc:Choice>
        </mc:AlternateContent>
        <mc:AlternateContent xmlns:mc="http://schemas.openxmlformats.org/markup-compatibility/2006">
          <mc:Choice Requires="x14">
            <control shapeId="1091" r:id="rId24" name="Button 67">
              <controlPr defaultSize="0" print="0" autoFill="0" autoPict="0" macro="[0]!Button23_Click">
                <anchor moveWithCells="1">
                  <from>
                    <xdr:col>3</xdr:col>
                    <xdr:colOff>19050</xdr:colOff>
                    <xdr:row>26</xdr:row>
                    <xdr:rowOff>161925</xdr:rowOff>
                  </from>
                  <to>
                    <xdr:col>3</xdr:col>
                    <xdr:colOff>619125</xdr:colOff>
                    <xdr:row>28</xdr:row>
                    <xdr:rowOff>9525</xdr:rowOff>
                  </to>
                </anchor>
              </controlPr>
            </control>
          </mc:Choice>
        </mc:AlternateContent>
        <mc:AlternateContent xmlns:mc="http://schemas.openxmlformats.org/markup-compatibility/2006">
          <mc:Choice Requires="x14">
            <control shapeId="1095" r:id="rId25" name="Button 71">
              <controlPr defaultSize="0" print="0" autoFill="0" autoPict="0" macro="[0]!Button24_Click">
                <anchor moveWithCells="1">
                  <from>
                    <xdr:col>4</xdr:col>
                    <xdr:colOff>0</xdr:colOff>
                    <xdr:row>26</xdr:row>
                    <xdr:rowOff>180975</xdr:rowOff>
                  </from>
                  <to>
                    <xdr:col>5</xdr:col>
                    <xdr:colOff>0</xdr:colOff>
                    <xdr:row>28</xdr:row>
                    <xdr:rowOff>19050</xdr:rowOff>
                  </to>
                </anchor>
              </controlPr>
            </control>
          </mc:Choice>
        </mc:AlternateContent>
        <mc:AlternateContent xmlns:mc="http://schemas.openxmlformats.org/markup-compatibility/2006">
          <mc:Choice Requires="x14">
            <control shapeId="1096" r:id="rId26" name="Button 72">
              <controlPr defaultSize="0" print="0" autoFill="0" autoPict="0" macro="[0]!Button25_Click">
                <anchor moveWithCells="1">
                  <from>
                    <xdr:col>5</xdr:col>
                    <xdr:colOff>19050</xdr:colOff>
                    <xdr:row>26</xdr:row>
                    <xdr:rowOff>171450</xdr:rowOff>
                  </from>
                  <to>
                    <xdr:col>6</xdr:col>
                    <xdr:colOff>161925</xdr:colOff>
                    <xdr:row>28</xdr:row>
                    <xdr:rowOff>19050</xdr:rowOff>
                  </to>
                </anchor>
              </controlPr>
            </control>
          </mc:Choice>
        </mc:AlternateContent>
        <mc:AlternateContent xmlns:mc="http://schemas.openxmlformats.org/markup-compatibility/2006">
          <mc:Choice Requires="x14">
            <control shapeId="1097" r:id="rId27" name="Button 73">
              <controlPr defaultSize="0" print="0" autoFill="0" autoPict="0" macro="[0]!Button26_Click">
                <anchor moveWithCells="1">
                  <from>
                    <xdr:col>0</xdr:col>
                    <xdr:colOff>866775</xdr:colOff>
                    <xdr:row>30</xdr:row>
                    <xdr:rowOff>0</xdr:rowOff>
                  </from>
                  <to>
                    <xdr:col>1</xdr:col>
                    <xdr:colOff>590550</xdr:colOff>
                    <xdr:row>31</xdr:row>
                    <xdr:rowOff>0</xdr:rowOff>
                  </to>
                </anchor>
              </controlPr>
            </control>
          </mc:Choice>
        </mc:AlternateContent>
        <mc:AlternateContent xmlns:mc="http://schemas.openxmlformats.org/markup-compatibility/2006">
          <mc:Choice Requires="x14">
            <control shapeId="1098" r:id="rId28" name="Button 74">
              <controlPr defaultSize="0" print="0" autoFill="0" autoPict="0" macro="[0]!Button27_Click">
                <anchor moveWithCells="1">
                  <from>
                    <xdr:col>2</xdr:col>
                    <xdr:colOff>0</xdr:colOff>
                    <xdr:row>29</xdr:row>
                    <xdr:rowOff>171450</xdr:rowOff>
                  </from>
                  <to>
                    <xdr:col>3</xdr:col>
                    <xdr:colOff>0</xdr:colOff>
                    <xdr:row>31</xdr:row>
                    <xdr:rowOff>9525</xdr:rowOff>
                  </to>
                </anchor>
              </controlPr>
            </control>
          </mc:Choice>
        </mc:AlternateContent>
        <mc:AlternateContent xmlns:mc="http://schemas.openxmlformats.org/markup-compatibility/2006">
          <mc:Choice Requires="x14">
            <control shapeId="1099" r:id="rId29" name="Button 75">
              <controlPr defaultSize="0" print="0" autoFill="0" autoPict="0" macro="[0]!Button28_Click">
                <anchor moveWithCells="1">
                  <from>
                    <xdr:col>3</xdr:col>
                    <xdr:colOff>19050</xdr:colOff>
                    <xdr:row>29</xdr:row>
                    <xdr:rowOff>161925</xdr:rowOff>
                  </from>
                  <to>
                    <xdr:col>3</xdr:col>
                    <xdr:colOff>619125</xdr:colOff>
                    <xdr:row>31</xdr:row>
                    <xdr:rowOff>9525</xdr:rowOff>
                  </to>
                </anchor>
              </controlPr>
            </control>
          </mc:Choice>
        </mc:AlternateContent>
        <mc:AlternateContent xmlns:mc="http://schemas.openxmlformats.org/markup-compatibility/2006">
          <mc:Choice Requires="x14">
            <control shapeId="1100" r:id="rId30" name="Button 76">
              <controlPr defaultSize="0" print="0" autoFill="0" autoPict="0" macro="[0]!Button29_Click">
                <anchor moveWithCells="1">
                  <from>
                    <xdr:col>4</xdr:col>
                    <xdr:colOff>0</xdr:colOff>
                    <xdr:row>29</xdr:row>
                    <xdr:rowOff>180975</xdr:rowOff>
                  </from>
                  <to>
                    <xdr:col>5</xdr:col>
                    <xdr:colOff>0</xdr:colOff>
                    <xdr:row>31</xdr:row>
                    <xdr:rowOff>19050</xdr:rowOff>
                  </to>
                </anchor>
              </controlPr>
            </control>
          </mc:Choice>
        </mc:AlternateContent>
        <mc:AlternateContent xmlns:mc="http://schemas.openxmlformats.org/markup-compatibility/2006">
          <mc:Choice Requires="x14">
            <control shapeId="1101" r:id="rId31" name="Button 77">
              <controlPr defaultSize="0" print="0" autoFill="0" autoPict="0" macro="[0]!Button30_Click">
                <anchor moveWithCells="1">
                  <from>
                    <xdr:col>5</xdr:col>
                    <xdr:colOff>19050</xdr:colOff>
                    <xdr:row>29</xdr:row>
                    <xdr:rowOff>171450</xdr:rowOff>
                  </from>
                  <to>
                    <xdr:col>6</xdr:col>
                    <xdr:colOff>161925</xdr:colOff>
                    <xdr:row>31</xdr:row>
                    <xdr:rowOff>19050</xdr:rowOff>
                  </to>
                </anchor>
              </controlPr>
            </control>
          </mc:Choice>
        </mc:AlternateContent>
        <mc:AlternateContent xmlns:mc="http://schemas.openxmlformats.org/markup-compatibility/2006">
          <mc:Choice Requires="x14">
            <control shapeId="1102" r:id="rId32" name="Button 78">
              <controlPr defaultSize="0" print="0" autoFill="0" autoPict="0" macro="[0]!Button31_Click">
                <anchor moveWithCells="1">
                  <from>
                    <xdr:col>0</xdr:col>
                    <xdr:colOff>876300</xdr:colOff>
                    <xdr:row>33</xdr:row>
                    <xdr:rowOff>9525</xdr:rowOff>
                  </from>
                  <to>
                    <xdr:col>1</xdr:col>
                    <xdr:colOff>600075</xdr:colOff>
                    <xdr:row>34</xdr:row>
                    <xdr:rowOff>9525</xdr:rowOff>
                  </to>
                </anchor>
              </controlPr>
            </control>
          </mc:Choice>
        </mc:AlternateContent>
        <mc:AlternateContent xmlns:mc="http://schemas.openxmlformats.org/markup-compatibility/2006">
          <mc:Choice Requires="x14">
            <control shapeId="1103" r:id="rId33" name="Button 79">
              <controlPr defaultSize="0" print="0" autoFill="0" autoPict="0" macro="[0]!Button32_Click">
                <anchor moveWithCells="1">
                  <from>
                    <xdr:col>2</xdr:col>
                    <xdr:colOff>9525</xdr:colOff>
                    <xdr:row>32</xdr:row>
                    <xdr:rowOff>180975</xdr:rowOff>
                  </from>
                  <to>
                    <xdr:col>3</xdr:col>
                    <xdr:colOff>9525</xdr:colOff>
                    <xdr:row>34</xdr:row>
                    <xdr:rowOff>19050</xdr:rowOff>
                  </to>
                </anchor>
              </controlPr>
            </control>
          </mc:Choice>
        </mc:AlternateContent>
        <mc:AlternateContent xmlns:mc="http://schemas.openxmlformats.org/markup-compatibility/2006">
          <mc:Choice Requires="x14">
            <control shapeId="1104" r:id="rId34" name="Button 80">
              <controlPr defaultSize="0" print="0" autoFill="0" autoPict="0" macro="[0]!Button33_Click">
                <anchor moveWithCells="1">
                  <from>
                    <xdr:col>3</xdr:col>
                    <xdr:colOff>28575</xdr:colOff>
                    <xdr:row>32</xdr:row>
                    <xdr:rowOff>171450</xdr:rowOff>
                  </from>
                  <to>
                    <xdr:col>4</xdr:col>
                    <xdr:colOff>0</xdr:colOff>
                    <xdr:row>34</xdr:row>
                    <xdr:rowOff>19050</xdr:rowOff>
                  </to>
                </anchor>
              </controlPr>
            </control>
          </mc:Choice>
        </mc:AlternateContent>
        <mc:AlternateContent xmlns:mc="http://schemas.openxmlformats.org/markup-compatibility/2006">
          <mc:Choice Requires="x14">
            <control shapeId="1105" r:id="rId35" name="Button 81">
              <controlPr defaultSize="0" print="0" autoFill="0" autoPict="0" macro="[0]!Button34_Click">
                <anchor moveWithCells="1">
                  <from>
                    <xdr:col>4</xdr:col>
                    <xdr:colOff>9525</xdr:colOff>
                    <xdr:row>33</xdr:row>
                    <xdr:rowOff>0</xdr:rowOff>
                  </from>
                  <to>
                    <xdr:col>5</xdr:col>
                    <xdr:colOff>9525</xdr:colOff>
                    <xdr:row>34</xdr:row>
                    <xdr:rowOff>28575</xdr:rowOff>
                  </to>
                </anchor>
              </controlPr>
            </control>
          </mc:Choice>
        </mc:AlternateContent>
        <mc:AlternateContent xmlns:mc="http://schemas.openxmlformats.org/markup-compatibility/2006">
          <mc:Choice Requires="x14">
            <control shapeId="1106" r:id="rId36" name="Button 82">
              <controlPr defaultSize="0" print="0" autoFill="0" autoPict="0" macro="[0]!Button35_Click">
                <anchor moveWithCells="1">
                  <from>
                    <xdr:col>5</xdr:col>
                    <xdr:colOff>28575</xdr:colOff>
                    <xdr:row>32</xdr:row>
                    <xdr:rowOff>180975</xdr:rowOff>
                  </from>
                  <to>
                    <xdr:col>6</xdr:col>
                    <xdr:colOff>171450</xdr:colOff>
                    <xdr:row>34</xdr:row>
                    <xdr:rowOff>28575</xdr:rowOff>
                  </to>
                </anchor>
              </controlPr>
            </control>
          </mc:Choice>
        </mc:AlternateContent>
        <mc:AlternateContent xmlns:mc="http://schemas.openxmlformats.org/markup-compatibility/2006">
          <mc:Choice Requires="x14">
            <control shapeId="1107" r:id="rId37" name="Button 83">
              <controlPr defaultSize="0" print="0" autoFill="0" autoPict="0" macro="[0]!Button36_Click">
                <anchor moveWithCells="1">
                  <from>
                    <xdr:col>0</xdr:col>
                    <xdr:colOff>847725</xdr:colOff>
                    <xdr:row>35</xdr:row>
                    <xdr:rowOff>0</xdr:rowOff>
                  </from>
                  <to>
                    <xdr:col>1</xdr:col>
                    <xdr:colOff>571500</xdr:colOff>
                    <xdr:row>36</xdr:row>
                    <xdr:rowOff>0</xdr:rowOff>
                  </to>
                </anchor>
              </controlPr>
            </control>
          </mc:Choice>
        </mc:AlternateContent>
        <mc:AlternateContent xmlns:mc="http://schemas.openxmlformats.org/markup-compatibility/2006">
          <mc:Choice Requires="x14">
            <control shapeId="1108" r:id="rId38" name="Button 84">
              <controlPr defaultSize="0" print="0" autoFill="0" autoPict="0" macro="[0]!Button37_Click">
                <anchor moveWithCells="1">
                  <from>
                    <xdr:col>1</xdr:col>
                    <xdr:colOff>590550</xdr:colOff>
                    <xdr:row>34</xdr:row>
                    <xdr:rowOff>171450</xdr:rowOff>
                  </from>
                  <to>
                    <xdr:col>2</xdr:col>
                    <xdr:colOff>590550</xdr:colOff>
                    <xdr:row>36</xdr:row>
                    <xdr:rowOff>9525</xdr:rowOff>
                  </to>
                </anchor>
              </controlPr>
            </control>
          </mc:Choice>
        </mc:AlternateContent>
        <mc:AlternateContent xmlns:mc="http://schemas.openxmlformats.org/markup-compatibility/2006">
          <mc:Choice Requires="x14">
            <control shapeId="1109" r:id="rId39" name="Button 85">
              <controlPr defaultSize="0" print="0" autoFill="0" autoPict="0" macro="[0]!Button38_Click">
                <anchor moveWithCells="1">
                  <from>
                    <xdr:col>3</xdr:col>
                    <xdr:colOff>0</xdr:colOff>
                    <xdr:row>34</xdr:row>
                    <xdr:rowOff>161925</xdr:rowOff>
                  </from>
                  <to>
                    <xdr:col>3</xdr:col>
                    <xdr:colOff>600075</xdr:colOff>
                    <xdr:row>36</xdr:row>
                    <xdr:rowOff>9525</xdr:rowOff>
                  </to>
                </anchor>
              </controlPr>
            </control>
          </mc:Choice>
        </mc:AlternateContent>
        <mc:AlternateContent xmlns:mc="http://schemas.openxmlformats.org/markup-compatibility/2006">
          <mc:Choice Requires="x14">
            <control shapeId="1110" r:id="rId40" name="Button 86">
              <controlPr defaultSize="0" print="0" autoFill="0" autoPict="0" macro="[0]!Button39_Click">
                <anchor moveWithCells="1">
                  <from>
                    <xdr:col>3</xdr:col>
                    <xdr:colOff>609600</xdr:colOff>
                    <xdr:row>34</xdr:row>
                    <xdr:rowOff>180975</xdr:rowOff>
                  </from>
                  <to>
                    <xdr:col>4</xdr:col>
                    <xdr:colOff>590550</xdr:colOff>
                    <xdr:row>36</xdr:row>
                    <xdr:rowOff>19050</xdr:rowOff>
                  </to>
                </anchor>
              </controlPr>
            </control>
          </mc:Choice>
        </mc:AlternateContent>
        <mc:AlternateContent xmlns:mc="http://schemas.openxmlformats.org/markup-compatibility/2006">
          <mc:Choice Requires="x14">
            <control shapeId="1111" r:id="rId41" name="Button 87">
              <controlPr defaultSize="0" print="0" autoFill="0" autoPict="0" macro="[0]!Button40_Click">
                <anchor moveWithCells="1">
                  <from>
                    <xdr:col>4</xdr:col>
                    <xdr:colOff>609600</xdr:colOff>
                    <xdr:row>34</xdr:row>
                    <xdr:rowOff>171450</xdr:rowOff>
                  </from>
                  <to>
                    <xdr:col>6</xdr:col>
                    <xdr:colOff>142875</xdr:colOff>
                    <xdr:row>36</xdr:row>
                    <xdr:rowOff>19050</xdr:rowOff>
                  </to>
                </anchor>
              </controlPr>
            </control>
          </mc:Choice>
        </mc:AlternateContent>
        <mc:AlternateContent xmlns:mc="http://schemas.openxmlformats.org/markup-compatibility/2006">
          <mc:Choice Requires="x14">
            <control shapeId="1112" r:id="rId42" name="Button 88">
              <controlPr defaultSize="0" print="0" autoFill="0" autoPict="0" macro="[0]!Button96_Click">
                <anchor moveWithCells="1">
                  <from>
                    <xdr:col>0</xdr:col>
                    <xdr:colOff>857250</xdr:colOff>
                    <xdr:row>38</xdr:row>
                    <xdr:rowOff>0</xdr:rowOff>
                  </from>
                  <to>
                    <xdr:col>1</xdr:col>
                    <xdr:colOff>581025</xdr:colOff>
                    <xdr:row>39</xdr:row>
                    <xdr:rowOff>0</xdr:rowOff>
                  </to>
                </anchor>
              </controlPr>
            </control>
          </mc:Choice>
        </mc:AlternateContent>
        <mc:AlternateContent xmlns:mc="http://schemas.openxmlformats.org/markup-compatibility/2006">
          <mc:Choice Requires="x14">
            <control shapeId="1113" r:id="rId43" name="Button 89">
              <controlPr defaultSize="0" print="0" autoFill="0" autoPict="0" macro="[0]!Button97_Click">
                <anchor moveWithCells="1">
                  <from>
                    <xdr:col>1</xdr:col>
                    <xdr:colOff>600075</xdr:colOff>
                    <xdr:row>37</xdr:row>
                    <xdr:rowOff>171450</xdr:rowOff>
                  </from>
                  <to>
                    <xdr:col>2</xdr:col>
                    <xdr:colOff>600075</xdr:colOff>
                    <xdr:row>39</xdr:row>
                    <xdr:rowOff>9525</xdr:rowOff>
                  </to>
                </anchor>
              </controlPr>
            </control>
          </mc:Choice>
        </mc:AlternateContent>
        <mc:AlternateContent xmlns:mc="http://schemas.openxmlformats.org/markup-compatibility/2006">
          <mc:Choice Requires="x14">
            <control shapeId="1114" r:id="rId44" name="Button 90">
              <controlPr defaultSize="0" print="0" autoFill="0" autoPict="0" macro="[0]!Button98_Click">
                <anchor moveWithCells="1">
                  <from>
                    <xdr:col>3</xdr:col>
                    <xdr:colOff>9525</xdr:colOff>
                    <xdr:row>37</xdr:row>
                    <xdr:rowOff>161925</xdr:rowOff>
                  </from>
                  <to>
                    <xdr:col>3</xdr:col>
                    <xdr:colOff>609600</xdr:colOff>
                    <xdr:row>39</xdr:row>
                    <xdr:rowOff>9525</xdr:rowOff>
                  </to>
                </anchor>
              </controlPr>
            </control>
          </mc:Choice>
        </mc:AlternateContent>
        <mc:AlternateContent xmlns:mc="http://schemas.openxmlformats.org/markup-compatibility/2006">
          <mc:Choice Requires="x14">
            <control shapeId="1115" r:id="rId45" name="Button 91">
              <controlPr defaultSize="0" print="0" autoFill="0" autoPict="0" macro="[0]!Button99_Click">
                <anchor moveWithCells="1">
                  <from>
                    <xdr:col>3</xdr:col>
                    <xdr:colOff>619125</xdr:colOff>
                    <xdr:row>37</xdr:row>
                    <xdr:rowOff>180975</xdr:rowOff>
                  </from>
                  <to>
                    <xdr:col>4</xdr:col>
                    <xdr:colOff>600075</xdr:colOff>
                    <xdr:row>39</xdr:row>
                    <xdr:rowOff>19050</xdr:rowOff>
                  </to>
                </anchor>
              </controlPr>
            </control>
          </mc:Choice>
        </mc:AlternateContent>
        <mc:AlternateContent xmlns:mc="http://schemas.openxmlformats.org/markup-compatibility/2006">
          <mc:Choice Requires="x14">
            <control shapeId="1116" r:id="rId46" name="Button 92">
              <controlPr defaultSize="0" print="0" autoFill="0" autoPict="0" macro="[0]!Button100_Click">
                <anchor moveWithCells="1">
                  <from>
                    <xdr:col>5</xdr:col>
                    <xdr:colOff>9525</xdr:colOff>
                    <xdr:row>37</xdr:row>
                    <xdr:rowOff>171450</xdr:rowOff>
                  </from>
                  <to>
                    <xdr:col>6</xdr:col>
                    <xdr:colOff>152400</xdr:colOff>
                    <xdr:row>39</xdr:row>
                    <xdr:rowOff>19050</xdr:rowOff>
                  </to>
                </anchor>
              </controlPr>
            </control>
          </mc:Choice>
        </mc:AlternateContent>
        <mc:AlternateContent xmlns:mc="http://schemas.openxmlformats.org/markup-compatibility/2006">
          <mc:Choice Requires="x14">
            <control shapeId="1117" r:id="rId47" name="Button 93">
              <controlPr defaultSize="0" print="0" autoFill="0" autoPict="0" macro="[0]!Button101_Click">
                <anchor moveWithCells="1">
                  <from>
                    <xdr:col>0</xdr:col>
                    <xdr:colOff>876300</xdr:colOff>
                    <xdr:row>40</xdr:row>
                    <xdr:rowOff>180975</xdr:rowOff>
                  </from>
                  <to>
                    <xdr:col>1</xdr:col>
                    <xdr:colOff>600075</xdr:colOff>
                    <xdr:row>42</xdr:row>
                    <xdr:rowOff>0</xdr:rowOff>
                  </to>
                </anchor>
              </controlPr>
            </control>
          </mc:Choice>
        </mc:AlternateContent>
        <mc:AlternateContent xmlns:mc="http://schemas.openxmlformats.org/markup-compatibility/2006">
          <mc:Choice Requires="x14">
            <control shapeId="1118" r:id="rId48" name="Button 94">
              <controlPr defaultSize="0" print="0" autoFill="0" autoPict="0" macro="[0]!Button102_Click">
                <anchor moveWithCells="1">
                  <from>
                    <xdr:col>2</xdr:col>
                    <xdr:colOff>9525</xdr:colOff>
                    <xdr:row>40</xdr:row>
                    <xdr:rowOff>161925</xdr:rowOff>
                  </from>
                  <to>
                    <xdr:col>3</xdr:col>
                    <xdr:colOff>9525</xdr:colOff>
                    <xdr:row>42</xdr:row>
                    <xdr:rowOff>0</xdr:rowOff>
                  </to>
                </anchor>
              </controlPr>
            </control>
          </mc:Choice>
        </mc:AlternateContent>
        <mc:AlternateContent xmlns:mc="http://schemas.openxmlformats.org/markup-compatibility/2006">
          <mc:Choice Requires="x14">
            <control shapeId="1119" r:id="rId49" name="Button 95">
              <controlPr defaultSize="0" print="0" autoFill="0" autoPict="0" macro="[0]!Button103_Click">
                <anchor moveWithCells="1">
                  <from>
                    <xdr:col>3</xdr:col>
                    <xdr:colOff>28575</xdr:colOff>
                    <xdr:row>40</xdr:row>
                    <xdr:rowOff>152400</xdr:rowOff>
                  </from>
                  <to>
                    <xdr:col>4</xdr:col>
                    <xdr:colOff>0</xdr:colOff>
                    <xdr:row>42</xdr:row>
                    <xdr:rowOff>0</xdr:rowOff>
                  </to>
                </anchor>
              </controlPr>
            </control>
          </mc:Choice>
        </mc:AlternateContent>
        <mc:AlternateContent xmlns:mc="http://schemas.openxmlformats.org/markup-compatibility/2006">
          <mc:Choice Requires="x14">
            <control shapeId="1120" r:id="rId50" name="Button 96">
              <controlPr defaultSize="0" print="0" autoFill="0" autoPict="0" macro="[0]!Button104_Click">
                <anchor moveWithCells="1">
                  <from>
                    <xdr:col>4</xdr:col>
                    <xdr:colOff>9525</xdr:colOff>
                    <xdr:row>40</xdr:row>
                    <xdr:rowOff>171450</xdr:rowOff>
                  </from>
                  <to>
                    <xdr:col>5</xdr:col>
                    <xdr:colOff>9525</xdr:colOff>
                    <xdr:row>42</xdr:row>
                    <xdr:rowOff>9525</xdr:rowOff>
                  </to>
                </anchor>
              </controlPr>
            </control>
          </mc:Choice>
        </mc:AlternateContent>
        <mc:AlternateContent xmlns:mc="http://schemas.openxmlformats.org/markup-compatibility/2006">
          <mc:Choice Requires="x14">
            <control shapeId="1121" r:id="rId51" name="Button 97">
              <controlPr defaultSize="0" print="0" autoFill="0" autoPict="0" macro="[0]!Button105_Click">
                <anchor moveWithCells="1">
                  <from>
                    <xdr:col>5</xdr:col>
                    <xdr:colOff>28575</xdr:colOff>
                    <xdr:row>40</xdr:row>
                    <xdr:rowOff>161925</xdr:rowOff>
                  </from>
                  <to>
                    <xdr:col>6</xdr:col>
                    <xdr:colOff>171450</xdr:colOff>
                    <xdr:row>42</xdr:row>
                    <xdr:rowOff>9525</xdr:rowOff>
                  </to>
                </anchor>
              </controlPr>
            </control>
          </mc:Choice>
        </mc:AlternateContent>
        <mc:AlternateContent xmlns:mc="http://schemas.openxmlformats.org/markup-compatibility/2006">
          <mc:Choice Requires="x14">
            <control shapeId="1122" r:id="rId52" name="Button 98">
              <controlPr defaultSize="0" print="0" autoFill="0" autoPict="0" macro="[0]!Button106_Click">
                <anchor moveWithCells="1">
                  <from>
                    <xdr:col>0</xdr:col>
                    <xdr:colOff>838200</xdr:colOff>
                    <xdr:row>43</xdr:row>
                    <xdr:rowOff>180975</xdr:rowOff>
                  </from>
                  <to>
                    <xdr:col>1</xdr:col>
                    <xdr:colOff>561975</xdr:colOff>
                    <xdr:row>45</xdr:row>
                    <xdr:rowOff>0</xdr:rowOff>
                  </to>
                </anchor>
              </controlPr>
            </control>
          </mc:Choice>
        </mc:AlternateContent>
        <mc:AlternateContent xmlns:mc="http://schemas.openxmlformats.org/markup-compatibility/2006">
          <mc:Choice Requires="x14">
            <control shapeId="1123" r:id="rId53" name="Button 99">
              <controlPr defaultSize="0" print="0" autoFill="0" autoPict="0" macro="[0]!Button107_Click">
                <anchor moveWithCells="1">
                  <from>
                    <xdr:col>1</xdr:col>
                    <xdr:colOff>581025</xdr:colOff>
                    <xdr:row>43</xdr:row>
                    <xdr:rowOff>161925</xdr:rowOff>
                  </from>
                  <to>
                    <xdr:col>2</xdr:col>
                    <xdr:colOff>581025</xdr:colOff>
                    <xdr:row>45</xdr:row>
                    <xdr:rowOff>0</xdr:rowOff>
                  </to>
                </anchor>
              </controlPr>
            </control>
          </mc:Choice>
        </mc:AlternateContent>
        <mc:AlternateContent xmlns:mc="http://schemas.openxmlformats.org/markup-compatibility/2006">
          <mc:Choice Requires="x14">
            <control shapeId="1124" r:id="rId54" name="Button 100">
              <controlPr defaultSize="0" print="0" autoFill="0" autoPict="0" macro="[0]!Button108_Click">
                <anchor moveWithCells="1">
                  <from>
                    <xdr:col>2</xdr:col>
                    <xdr:colOff>600075</xdr:colOff>
                    <xdr:row>43</xdr:row>
                    <xdr:rowOff>152400</xdr:rowOff>
                  </from>
                  <to>
                    <xdr:col>3</xdr:col>
                    <xdr:colOff>590550</xdr:colOff>
                    <xdr:row>45</xdr:row>
                    <xdr:rowOff>0</xdr:rowOff>
                  </to>
                </anchor>
              </controlPr>
            </control>
          </mc:Choice>
        </mc:AlternateContent>
        <mc:AlternateContent xmlns:mc="http://schemas.openxmlformats.org/markup-compatibility/2006">
          <mc:Choice Requires="x14">
            <control shapeId="1125" r:id="rId55" name="Button 101">
              <controlPr defaultSize="0" print="0" autoFill="0" autoPict="0" macro="[0]!Button109_Click">
                <anchor moveWithCells="1">
                  <from>
                    <xdr:col>3</xdr:col>
                    <xdr:colOff>600075</xdr:colOff>
                    <xdr:row>43</xdr:row>
                    <xdr:rowOff>171450</xdr:rowOff>
                  </from>
                  <to>
                    <xdr:col>4</xdr:col>
                    <xdr:colOff>581025</xdr:colOff>
                    <xdr:row>45</xdr:row>
                    <xdr:rowOff>9525</xdr:rowOff>
                  </to>
                </anchor>
              </controlPr>
            </control>
          </mc:Choice>
        </mc:AlternateContent>
        <mc:AlternateContent xmlns:mc="http://schemas.openxmlformats.org/markup-compatibility/2006">
          <mc:Choice Requires="x14">
            <control shapeId="1126" r:id="rId56" name="Button 102">
              <controlPr defaultSize="0" print="0" autoFill="0" autoPict="0" macro="[0]!Button30_Click">
                <anchor moveWithCells="1">
                  <from>
                    <xdr:col>4</xdr:col>
                    <xdr:colOff>600075</xdr:colOff>
                    <xdr:row>43</xdr:row>
                    <xdr:rowOff>161925</xdr:rowOff>
                  </from>
                  <to>
                    <xdr:col>5</xdr:col>
                    <xdr:colOff>600075</xdr:colOff>
                    <xdr:row>45</xdr:row>
                    <xdr:rowOff>19050</xdr:rowOff>
                  </to>
                </anchor>
              </controlPr>
            </control>
          </mc:Choice>
        </mc:AlternateContent>
        <mc:AlternateContent xmlns:mc="http://schemas.openxmlformats.org/markup-compatibility/2006">
          <mc:Choice Requires="x14">
            <control shapeId="1127" r:id="rId57" name="Button 103">
              <controlPr defaultSize="0" print="0" autoFill="0" autoPict="0" macro="[0]!Button41_Click">
                <anchor moveWithCells="1">
                  <from>
                    <xdr:col>0</xdr:col>
                    <xdr:colOff>847725</xdr:colOff>
                    <xdr:row>48</xdr:row>
                    <xdr:rowOff>0</xdr:rowOff>
                  </from>
                  <to>
                    <xdr:col>1</xdr:col>
                    <xdr:colOff>571500</xdr:colOff>
                    <xdr:row>49</xdr:row>
                    <xdr:rowOff>0</xdr:rowOff>
                  </to>
                </anchor>
              </controlPr>
            </control>
          </mc:Choice>
        </mc:AlternateContent>
        <mc:AlternateContent xmlns:mc="http://schemas.openxmlformats.org/markup-compatibility/2006">
          <mc:Choice Requires="x14">
            <control shapeId="1128" r:id="rId58" name="Button 104">
              <controlPr defaultSize="0" print="0" autoFill="0" autoPict="0" macro="[0]!Button42_Click">
                <anchor moveWithCells="1">
                  <from>
                    <xdr:col>1</xdr:col>
                    <xdr:colOff>590550</xdr:colOff>
                    <xdr:row>47</xdr:row>
                    <xdr:rowOff>171450</xdr:rowOff>
                  </from>
                  <to>
                    <xdr:col>2</xdr:col>
                    <xdr:colOff>590550</xdr:colOff>
                    <xdr:row>49</xdr:row>
                    <xdr:rowOff>9525</xdr:rowOff>
                  </to>
                </anchor>
              </controlPr>
            </control>
          </mc:Choice>
        </mc:AlternateContent>
        <mc:AlternateContent xmlns:mc="http://schemas.openxmlformats.org/markup-compatibility/2006">
          <mc:Choice Requires="x14">
            <control shapeId="1129" r:id="rId59" name="Button 105">
              <controlPr defaultSize="0" print="0" autoFill="0" autoPict="0" macro="[0]!Button43_Click">
                <anchor moveWithCells="1">
                  <from>
                    <xdr:col>3</xdr:col>
                    <xdr:colOff>0</xdr:colOff>
                    <xdr:row>47</xdr:row>
                    <xdr:rowOff>161925</xdr:rowOff>
                  </from>
                  <to>
                    <xdr:col>3</xdr:col>
                    <xdr:colOff>600075</xdr:colOff>
                    <xdr:row>49</xdr:row>
                    <xdr:rowOff>9525</xdr:rowOff>
                  </to>
                </anchor>
              </controlPr>
            </control>
          </mc:Choice>
        </mc:AlternateContent>
        <mc:AlternateContent xmlns:mc="http://schemas.openxmlformats.org/markup-compatibility/2006">
          <mc:Choice Requires="x14">
            <control shapeId="1130" r:id="rId60" name="Button 106">
              <controlPr defaultSize="0" print="0" autoFill="0" autoPict="0" macro="[0]!Button44_Click">
                <anchor moveWithCells="1">
                  <from>
                    <xdr:col>3</xdr:col>
                    <xdr:colOff>609600</xdr:colOff>
                    <xdr:row>47</xdr:row>
                    <xdr:rowOff>180975</xdr:rowOff>
                  </from>
                  <to>
                    <xdr:col>4</xdr:col>
                    <xdr:colOff>590550</xdr:colOff>
                    <xdr:row>49</xdr:row>
                    <xdr:rowOff>19050</xdr:rowOff>
                  </to>
                </anchor>
              </controlPr>
            </control>
          </mc:Choice>
        </mc:AlternateContent>
        <mc:AlternateContent xmlns:mc="http://schemas.openxmlformats.org/markup-compatibility/2006">
          <mc:Choice Requires="x14">
            <control shapeId="1131" r:id="rId61" name="Button 107">
              <controlPr defaultSize="0" print="0" autoFill="0" autoPict="0" macro="[0]!Button45_Click">
                <anchor moveWithCells="1">
                  <from>
                    <xdr:col>4</xdr:col>
                    <xdr:colOff>609600</xdr:colOff>
                    <xdr:row>47</xdr:row>
                    <xdr:rowOff>171450</xdr:rowOff>
                  </from>
                  <to>
                    <xdr:col>6</xdr:col>
                    <xdr:colOff>142875</xdr:colOff>
                    <xdr:row>49</xdr:row>
                    <xdr:rowOff>19050</xdr:rowOff>
                  </to>
                </anchor>
              </controlPr>
            </control>
          </mc:Choice>
        </mc:AlternateContent>
        <mc:AlternateContent xmlns:mc="http://schemas.openxmlformats.org/markup-compatibility/2006">
          <mc:Choice Requires="x14">
            <control shapeId="1132" r:id="rId62" name="Button 108">
              <controlPr defaultSize="0" print="0" autoFill="0" autoPict="0" macro="[0]!Button46_Click">
                <anchor moveWithCells="1">
                  <from>
                    <xdr:col>0</xdr:col>
                    <xdr:colOff>876300</xdr:colOff>
                    <xdr:row>50</xdr:row>
                    <xdr:rowOff>0</xdr:rowOff>
                  </from>
                  <to>
                    <xdr:col>1</xdr:col>
                    <xdr:colOff>600075</xdr:colOff>
                    <xdr:row>51</xdr:row>
                    <xdr:rowOff>0</xdr:rowOff>
                  </to>
                </anchor>
              </controlPr>
            </control>
          </mc:Choice>
        </mc:AlternateContent>
        <mc:AlternateContent xmlns:mc="http://schemas.openxmlformats.org/markup-compatibility/2006">
          <mc:Choice Requires="x14">
            <control shapeId="1133" r:id="rId63" name="Button 109">
              <controlPr defaultSize="0" print="0" autoFill="0" autoPict="0" macro="[0]!Button47_Click">
                <anchor moveWithCells="1">
                  <from>
                    <xdr:col>2</xdr:col>
                    <xdr:colOff>9525</xdr:colOff>
                    <xdr:row>49</xdr:row>
                    <xdr:rowOff>171450</xdr:rowOff>
                  </from>
                  <to>
                    <xdr:col>3</xdr:col>
                    <xdr:colOff>9525</xdr:colOff>
                    <xdr:row>51</xdr:row>
                    <xdr:rowOff>9525</xdr:rowOff>
                  </to>
                </anchor>
              </controlPr>
            </control>
          </mc:Choice>
        </mc:AlternateContent>
        <mc:AlternateContent xmlns:mc="http://schemas.openxmlformats.org/markup-compatibility/2006">
          <mc:Choice Requires="x14">
            <control shapeId="1134" r:id="rId64" name="Button 110">
              <controlPr defaultSize="0" print="0" autoFill="0" autoPict="0" macro="[0]!Button48_Click">
                <anchor moveWithCells="1">
                  <from>
                    <xdr:col>3</xdr:col>
                    <xdr:colOff>28575</xdr:colOff>
                    <xdr:row>49</xdr:row>
                    <xdr:rowOff>161925</xdr:rowOff>
                  </from>
                  <to>
                    <xdr:col>4</xdr:col>
                    <xdr:colOff>0</xdr:colOff>
                    <xdr:row>51</xdr:row>
                    <xdr:rowOff>9525</xdr:rowOff>
                  </to>
                </anchor>
              </controlPr>
            </control>
          </mc:Choice>
        </mc:AlternateContent>
        <mc:AlternateContent xmlns:mc="http://schemas.openxmlformats.org/markup-compatibility/2006">
          <mc:Choice Requires="x14">
            <control shapeId="1135" r:id="rId65" name="Button 111">
              <controlPr defaultSize="0" print="0" autoFill="0" autoPict="0" macro="[0]!Button49_Click">
                <anchor moveWithCells="1">
                  <from>
                    <xdr:col>4</xdr:col>
                    <xdr:colOff>9525</xdr:colOff>
                    <xdr:row>49</xdr:row>
                    <xdr:rowOff>180975</xdr:rowOff>
                  </from>
                  <to>
                    <xdr:col>5</xdr:col>
                    <xdr:colOff>9525</xdr:colOff>
                    <xdr:row>51</xdr:row>
                    <xdr:rowOff>19050</xdr:rowOff>
                  </to>
                </anchor>
              </controlPr>
            </control>
          </mc:Choice>
        </mc:AlternateContent>
        <mc:AlternateContent xmlns:mc="http://schemas.openxmlformats.org/markup-compatibility/2006">
          <mc:Choice Requires="x14">
            <control shapeId="1136" r:id="rId66" name="Button 112">
              <controlPr defaultSize="0" print="0" autoFill="0" autoPict="0" macro="[0]!Button50_Click">
                <anchor moveWithCells="1">
                  <from>
                    <xdr:col>5</xdr:col>
                    <xdr:colOff>28575</xdr:colOff>
                    <xdr:row>49</xdr:row>
                    <xdr:rowOff>171450</xdr:rowOff>
                  </from>
                  <to>
                    <xdr:col>6</xdr:col>
                    <xdr:colOff>171450</xdr:colOff>
                    <xdr:row>51</xdr:row>
                    <xdr:rowOff>19050</xdr:rowOff>
                  </to>
                </anchor>
              </controlPr>
            </control>
          </mc:Choice>
        </mc:AlternateContent>
        <mc:AlternateContent xmlns:mc="http://schemas.openxmlformats.org/markup-compatibility/2006">
          <mc:Choice Requires="x14">
            <control shapeId="1137" r:id="rId67" name="Button 113">
              <controlPr defaultSize="0" print="0" autoFill="0" autoPict="0" macro="[0]!Button51_Click">
                <anchor moveWithCells="1">
                  <from>
                    <xdr:col>1</xdr:col>
                    <xdr:colOff>0</xdr:colOff>
                    <xdr:row>52</xdr:row>
                    <xdr:rowOff>0</xdr:rowOff>
                  </from>
                  <to>
                    <xdr:col>2</xdr:col>
                    <xdr:colOff>0</xdr:colOff>
                    <xdr:row>53</xdr:row>
                    <xdr:rowOff>0</xdr:rowOff>
                  </to>
                </anchor>
              </controlPr>
            </control>
          </mc:Choice>
        </mc:AlternateContent>
        <mc:AlternateContent xmlns:mc="http://schemas.openxmlformats.org/markup-compatibility/2006">
          <mc:Choice Requires="x14">
            <control shapeId="1138" r:id="rId68" name="Button 114">
              <controlPr defaultSize="0" print="0" autoFill="0" autoPict="0" macro="[0]!Button52_Click">
                <anchor moveWithCells="1">
                  <from>
                    <xdr:col>2</xdr:col>
                    <xdr:colOff>19050</xdr:colOff>
                    <xdr:row>51</xdr:row>
                    <xdr:rowOff>171450</xdr:rowOff>
                  </from>
                  <to>
                    <xdr:col>3</xdr:col>
                    <xdr:colOff>19050</xdr:colOff>
                    <xdr:row>53</xdr:row>
                    <xdr:rowOff>9525</xdr:rowOff>
                  </to>
                </anchor>
              </controlPr>
            </control>
          </mc:Choice>
        </mc:AlternateContent>
        <mc:AlternateContent xmlns:mc="http://schemas.openxmlformats.org/markup-compatibility/2006">
          <mc:Choice Requires="x14">
            <control shapeId="1139" r:id="rId69" name="Button 115">
              <controlPr defaultSize="0" print="0" autoFill="0" autoPict="0" macro="[0]!Button53_Click">
                <anchor moveWithCells="1">
                  <from>
                    <xdr:col>3</xdr:col>
                    <xdr:colOff>38100</xdr:colOff>
                    <xdr:row>51</xdr:row>
                    <xdr:rowOff>161925</xdr:rowOff>
                  </from>
                  <to>
                    <xdr:col>4</xdr:col>
                    <xdr:colOff>9525</xdr:colOff>
                    <xdr:row>53</xdr:row>
                    <xdr:rowOff>9525</xdr:rowOff>
                  </to>
                </anchor>
              </controlPr>
            </control>
          </mc:Choice>
        </mc:AlternateContent>
        <mc:AlternateContent xmlns:mc="http://schemas.openxmlformats.org/markup-compatibility/2006">
          <mc:Choice Requires="x14">
            <control shapeId="1140" r:id="rId70" name="Button 116">
              <controlPr defaultSize="0" print="0" autoFill="0" autoPict="0" macro="[0]!Button54_Click">
                <anchor moveWithCells="1">
                  <from>
                    <xdr:col>4</xdr:col>
                    <xdr:colOff>19050</xdr:colOff>
                    <xdr:row>51</xdr:row>
                    <xdr:rowOff>180975</xdr:rowOff>
                  </from>
                  <to>
                    <xdr:col>5</xdr:col>
                    <xdr:colOff>19050</xdr:colOff>
                    <xdr:row>53</xdr:row>
                    <xdr:rowOff>19050</xdr:rowOff>
                  </to>
                </anchor>
              </controlPr>
            </control>
          </mc:Choice>
        </mc:AlternateContent>
        <mc:AlternateContent xmlns:mc="http://schemas.openxmlformats.org/markup-compatibility/2006">
          <mc:Choice Requires="x14">
            <control shapeId="1141" r:id="rId71" name="Button 117">
              <controlPr defaultSize="0" print="0" autoFill="0" autoPict="0" macro="[0]!Button55_Click">
                <anchor moveWithCells="1">
                  <from>
                    <xdr:col>5</xdr:col>
                    <xdr:colOff>38100</xdr:colOff>
                    <xdr:row>51</xdr:row>
                    <xdr:rowOff>171450</xdr:rowOff>
                  </from>
                  <to>
                    <xdr:col>6</xdr:col>
                    <xdr:colOff>180975</xdr:colOff>
                    <xdr:row>53</xdr:row>
                    <xdr:rowOff>19050</xdr:rowOff>
                  </to>
                </anchor>
              </controlPr>
            </control>
          </mc:Choice>
        </mc:AlternateContent>
        <mc:AlternateContent xmlns:mc="http://schemas.openxmlformats.org/markup-compatibility/2006">
          <mc:Choice Requires="x14">
            <control shapeId="1142" r:id="rId72" name="Button 118">
              <controlPr defaultSize="0" print="0" autoFill="0" autoPict="0" macro="[0]!Button56_Click">
                <anchor moveWithCells="1">
                  <from>
                    <xdr:col>1</xdr:col>
                    <xdr:colOff>9525</xdr:colOff>
                    <xdr:row>54</xdr:row>
                    <xdr:rowOff>9525</xdr:rowOff>
                  </from>
                  <to>
                    <xdr:col>2</xdr:col>
                    <xdr:colOff>9525</xdr:colOff>
                    <xdr:row>55</xdr:row>
                    <xdr:rowOff>9525</xdr:rowOff>
                  </to>
                </anchor>
              </controlPr>
            </control>
          </mc:Choice>
        </mc:AlternateContent>
        <mc:AlternateContent xmlns:mc="http://schemas.openxmlformats.org/markup-compatibility/2006">
          <mc:Choice Requires="x14">
            <control shapeId="1143" r:id="rId73" name="Button 119">
              <controlPr defaultSize="0" print="0" autoFill="0" autoPict="0" macro="[0]!Button57_Click">
                <anchor moveWithCells="1">
                  <from>
                    <xdr:col>2</xdr:col>
                    <xdr:colOff>28575</xdr:colOff>
                    <xdr:row>53</xdr:row>
                    <xdr:rowOff>180975</xdr:rowOff>
                  </from>
                  <to>
                    <xdr:col>3</xdr:col>
                    <xdr:colOff>28575</xdr:colOff>
                    <xdr:row>55</xdr:row>
                    <xdr:rowOff>19050</xdr:rowOff>
                  </to>
                </anchor>
              </controlPr>
            </control>
          </mc:Choice>
        </mc:AlternateContent>
        <mc:AlternateContent xmlns:mc="http://schemas.openxmlformats.org/markup-compatibility/2006">
          <mc:Choice Requires="x14">
            <control shapeId="1144" r:id="rId74" name="Button 120">
              <controlPr defaultSize="0" print="0" autoFill="0" autoPict="0" macro="[0]!Button58_Click">
                <anchor moveWithCells="1">
                  <from>
                    <xdr:col>3</xdr:col>
                    <xdr:colOff>47625</xdr:colOff>
                    <xdr:row>53</xdr:row>
                    <xdr:rowOff>171450</xdr:rowOff>
                  </from>
                  <to>
                    <xdr:col>4</xdr:col>
                    <xdr:colOff>19050</xdr:colOff>
                    <xdr:row>55</xdr:row>
                    <xdr:rowOff>19050</xdr:rowOff>
                  </to>
                </anchor>
              </controlPr>
            </control>
          </mc:Choice>
        </mc:AlternateContent>
        <mc:AlternateContent xmlns:mc="http://schemas.openxmlformats.org/markup-compatibility/2006">
          <mc:Choice Requires="x14">
            <control shapeId="1145" r:id="rId75" name="Button 121">
              <controlPr defaultSize="0" print="0" autoFill="0" autoPict="0" macro="[0]!Button59_Click">
                <anchor moveWithCells="1">
                  <from>
                    <xdr:col>4</xdr:col>
                    <xdr:colOff>28575</xdr:colOff>
                    <xdr:row>54</xdr:row>
                    <xdr:rowOff>0</xdr:rowOff>
                  </from>
                  <to>
                    <xdr:col>5</xdr:col>
                    <xdr:colOff>28575</xdr:colOff>
                    <xdr:row>55</xdr:row>
                    <xdr:rowOff>28575</xdr:rowOff>
                  </to>
                </anchor>
              </controlPr>
            </control>
          </mc:Choice>
        </mc:AlternateContent>
        <mc:AlternateContent xmlns:mc="http://schemas.openxmlformats.org/markup-compatibility/2006">
          <mc:Choice Requires="x14">
            <control shapeId="1146" r:id="rId76" name="Button 122">
              <controlPr defaultSize="0" print="0" autoFill="0" autoPict="0" macro="[0]!Button60_Click">
                <anchor moveWithCells="1">
                  <from>
                    <xdr:col>5</xdr:col>
                    <xdr:colOff>47625</xdr:colOff>
                    <xdr:row>53</xdr:row>
                    <xdr:rowOff>180975</xdr:rowOff>
                  </from>
                  <to>
                    <xdr:col>6</xdr:col>
                    <xdr:colOff>190500</xdr:colOff>
                    <xdr:row>55</xdr:row>
                    <xdr:rowOff>28575</xdr:rowOff>
                  </to>
                </anchor>
              </controlPr>
            </control>
          </mc:Choice>
        </mc:AlternateContent>
        <mc:AlternateContent xmlns:mc="http://schemas.openxmlformats.org/markup-compatibility/2006">
          <mc:Choice Requires="x14">
            <control shapeId="1147" r:id="rId77" name="Button 123">
              <controlPr defaultSize="0" print="0" autoFill="0" autoPict="0" macro="[0]!Button61_Click">
                <anchor moveWithCells="1">
                  <from>
                    <xdr:col>0</xdr:col>
                    <xdr:colOff>866775</xdr:colOff>
                    <xdr:row>57</xdr:row>
                    <xdr:rowOff>180975</xdr:rowOff>
                  </from>
                  <to>
                    <xdr:col>1</xdr:col>
                    <xdr:colOff>590550</xdr:colOff>
                    <xdr:row>59</xdr:row>
                    <xdr:rowOff>0</xdr:rowOff>
                  </to>
                </anchor>
              </controlPr>
            </control>
          </mc:Choice>
        </mc:AlternateContent>
        <mc:AlternateContent xmlns:mc="http://schemas.openxmlformats.org/markup-compatibility/2006">
          <mc:Choice Requires="x14">
            <control shapeId="1148" r:id="rId78" name="Button 124">
              <controlPr defaultSize="0" print="0" autoFill="0" autoPict="0" macro="[0]!Button62_Click">
                <anchor moveWithCells="1">
                  <from>
                    <xdr:col>2</xdr:col>
                    <xdr:colOff>0</xdr:colOff>
                    <xdr:row>57</xdr:row>
                    <xdr:rowOff>161925</xdr:rowOff>
                  </from>
                  <to>
                    <xdr:col>3</xdr:col>
                    <xdr:colOff>0</xdr:colOff>
                    <xdr:row>59</xdr:row>
                    <xdr:rowOff>0</xdr:rowOff>
                  </to>
                </anchor>
              </controlPr>
            </control>
          </mc:Choice>
        </mc:AlternateContent>
        <mc:AlternateContent xmlns:mc="http://schemas.openxmlformats.org/markup-compatibility/2006">
          <mc:Choice Requires="x14">
            <control shapeId="1149" r:id="rId79" name="Button 125">
              <controlPr defaultSize="0" print="0" autoFill="0" autoPict="0" macro="[0]!Button63_Click">
                <anchor moveWithCells="1">
                  <from>
                    <xdr:col>3</xdr:col>
                    <xdr:colOff>19050</xdr:colOff>
                    <xdr:row>57</xdr:row>
                    <xdr:rowOff>152400</xdr:rowOff>
                  </from>
                  <to>
                    <xdr:col>3</xdr:col>
                    <xdr:colOff>619125</xdr:colOff>
                    <xdr:row>59</xdr:row>
                    <xdr:rowOff>0</xdr:rowOff>
                  </to>
                </anchor>
              </controlPr>
            </control>
          </mc:Choice>
        </mc:AlternateContent>
        <mc:AlternateContent xmlns:mc="http://schemas.openxmlformats.org/markup-compatibility/2006">
          <mc:Choice Requires="x14">
            <control shapeId="1150" r:id="rId80" name="Button 126">
              <controlPr defaultSize="0" print="0" autoFill="0" autoPict="0" macro="[0]!Button64_Click">
                <anchor moveWithCells="1">
                  <from>
                    <xdr:col>4</xdr:col>
                    <xdr:colOff>0</xdr:colOff>
                    <xdr:row>57</xdr:row>
                    <xdr:rowOff>171450</xdr:rowOff>
                  </from>
                  <to>
                    <xdr:col>5</xdr:col>
                    <xdr:colOff>0</xdr:colOff>
                    <xdr:row>59</xdr:row>
                    <xdr:rowOff>9525</xdr:rowOff>
                  </to>
                </anchor>
              </controlPr>
            </control>
          </mc:Choice>
        </mc:AlternateContent>
        <mc:AlternateContent xmlns:mc="http://schemas.openxmlformats.org/markup-compatibility/2006">
          <mc:Choice Requires="x14">
            <control shapeId="1151" r:id="rId81" name="Button 127">
              <controlPr defaultSize="0" print="0" autoFill="0" autoPict="0" macro="[0]!Button65_Click">
                <anchor moveWithCells="1">
                  <from>
                    <xdr:col>5</xdr:col>
                    <xdr:colOff>19050</xdr:colOff>
                    <xdr:row>57</xdr:row>
                    <xdr:rowOff>161925</xdr:rowOff>
                  </from>
                  <to>
                    <xdr:col>6</xdr:col>
                    <xdr:colOff>161925</xdr:colOff>
                    <xdr:row>59</xdr:row>
                    <xdr:rowOff>9525</xdr:rowOff>
                  </to>
                </anchor>
              </controlPr>
            </control>
          </mc:Choice>
        </mc:AlternateContent>
        <mc:AlternateContent xmlns:mc="http://schemas.openxmlformats.org/markup-compatibility/2006">
          <mc:Choice Requires="x14">
            <control shapeId="1152" r:id="rId82" name="Button 128">
              <controlPr defaultSize="0" print="0" autoFill="0" autoPict="0" macro="[0]!Button66_Click">
                <anchor moveWithCells="1">
                  <from>
                    <xdr:col>0</xdr:col>
                    <xdr:colOff>866775</xdr:colOff>
                    <xdr:row>61</xdr:row>
                    <xdr:rowOff>9525</xdr:rowOff>
                  </from>
                  <to>
                    <xdr:col>1</xdr:col>
                    <xdr:colOff>590550</xdr:colOff>
                    <xdr:row>62</xdr:row>
                    <xdr:rowOff>9525</xdr:rowOff>
                  </to>
                </anchor>
              </controlPr>
            </control>
          </mc:Choice>
        </mc:AlternateContent>
        <mc:AlternateContent xmlns:mc="http://schemas.openxmlformats.org/markup-compatibility/2006">
          <mc:Choice Requires="x14">
            <control shapeId="1153" r:id="rId83" name="Button 129">
              <controlPr defaultSize="0" print="0" autoFill="0" autoPict="0" macro="[0]!Button67_Click">
                <anchor moveWithCells="1">
                  <from>
                    <xdr:col>2</xdr:col>
                    <xdr:colOff>0</xdr:colOff>
                    <xdr:row>60</xdr:row>
                    <xdr:rowOff>180975</xdr:rowOff>
                  </from>
                  <to>
                    <xdr:col>3</xdr:col>
                    <xdr:colOff>0</xdr:colOff>
                    <xdr:row>62</xdr:row>
                    <xdr:rowOff>19050</xdr:rowOff>
                  </to>
                </anchor>
              </controlPr>
            </control>
          </mc:Choice>
        </mc:AlternateContent>
        <mc:AlternateContent xmlns:mc="http://schemas.openxmlformats.org/markup-compatibility/2006">
          <mc:Choice Requires="x14">
            <control shapeId="1154" r:id="rId84" name="Button 130">
              <controlPr defaultSize="0" print="0" autoFill="0" autoPict="0" macro="[0]!Button68_Click">
                <anchor moveWithCells="1">
                  <from>
                    <xdr:col>3</xdr:col>
                    <xdr:colOff>19050</xdr:colOff>
                    <xdr:row>60</xdr:row>
                    <xdr:rowOff>171450</xdr:rowOff>
                  </from>
                  <to>
                    <xdr:col>3</xdr:col>
                    <xdr:colOff>619125</xdr:colOff>
                    <xdr:row>62</xdr:row>
                    <xdr:rowOff>19050</xdr:rowOff>
                  </to>
                </anchor>
              </controlPr>
            </control>
          </mc:Choice>
        </mc:AlternateContent>
        <mc:AlternateContent xmlns:mc="http://schemas.openxmlformats.org/markup-compatibility/2006">
          <mc:Choice Requires="x14">
            <control shapeId="1155" r:id="rId85" name="Button 131">
              <controlPr defaultSize="0" print="0" autoFill="0" autoPict="0" macro="[0]!Button69_Click">
                <anchor moveWithCells="1">
                  <from>
                    <xdr:col>4</xdr:col>
                    <xdr:colOff>0</xdr:colOff>
                    <xdr:row>61</xdr:row>
                    <xdr:rowOff>0</xdr:rowOff>
                  </from>
                  <to>
                    <xdr:col>5</xdr:col>
                    <xdr:colOff>0</xdr:colOff>
                    <xdr:row>62</xdr:row>
                    <xdr:rowOff>28575</xdr:rowOff>
                  </to>
                </anchor>
              </controlPr>
            </control>
          </mc:Choice>
        </mc:AlternateContent>
        <mc:AlternateContent xmlns:mc="http://schemas.openxmlformats.org/markup-compatibility/2006">
          <mc:Choice Requires="x14">
            <control shapeId="1156" r:id="rId86" name="Button 132">
              <controlPr defaultSize="0" print="0" autoFill="0" autoPict="0" macro="[0]!Button70_Click">
                <anchor moveWithCells="1">
                  <from>
                    <xdr:col>5</xdr:col>
                    <xdr:colOff>19050</xdr:colOff>
                    <xdr:row>60</xdr:row>
                    <xdr:rowOff>180975</xdr:rowOff>
                  </from>
                  <to>
                    <xdr:col>6</xdr:col>
                    <xdr:colOff>161925</xdr:colOff>
                    <xdr:row>62</xdr:row>
                    <xdr:rowOff>28575</xdr:rowOff>
                  </to>
                </anchor>
              </controlPr>
            </control>
          </mc:Choice>
        </mc:AlternateContent>
        <mc:AlternateContent xmlns:mc="http://schemas.openxmlformats.org/markup-compatibility/2006">
          <mc:Choice Requires="x14">
            <control shapeId="1157" r:id="rId87" name="Button 133">
              <controlPr defaultSize="0" print="0" autoFill="0" autoPict="0" macro="[0]!Button71_Click">
                <anchor moveWithCells="1">
                  <from>
                    <xdr:col>0</xdr:col>
                    <xdr:colOff>866775</xdr:colOff>
                    <xdr:row>63</xdr:row>
                    <xdr:rowOff>9525</xdr:rowOff>
                  </from>
                  <to>
                    <xdr:col>1</xdr:col>
                    <xdr:colOff>590550</xdr:colOff>
                    <xdr:row>64</xdr:row>
                    <xdr:rowOff>9525</xdr:rowOff>
                  </to>
                </anchor>
              </controlPr>
            </control>
          </mc:Choice>
        </mc:AlternateContent>
        <mc:AlternateContent xmlns:mc="http://schemas.openxmlformats.org/markup-compatibility/2006">
          <mc:Choice Requires="x14">
            <control shapeId="1158" r:id="rId88" name="Button 134">
              <controlPr defaultSize="0" print="0" autoFill="0" autoPict="0" macro="[0]!Button72_Click">
                <anchor moveWithCells="1">
                  <from>
                    <xdr:col>2</xdr:col>
                    <xdr:colOff>0</xdr:colOff>
                    <xdr:row>62</xdr:row>
                    <xdr:rowOff>180975</xdr:rowOff>
                  </from>
                  <to>
                    <xdr:col>3</xdr:col>
                    <xdr:colOff>0</xdr:colOff>
                    <xdr:row>64</xdr:row>
                    <xdr:rowOff>19050</xdr:rowOff>
                  </to>
                </anchor>
              </controlPr>
            </control>
          </mc:Choice>
        </mc:AlternateContent>
        <mc:AlternateContent xmlns:mc="http://schemas.openxmlformats.org/markup-compatibility/2006">
          <mc:Choice Requires="x14">
            <control shapeId="1159" r:id="rId89" name="Button 135">
              <controlPr defaultSize="0" print="0" autoFill="0" autoPict="0" macro="[0]!Button73_Click">
                <anchor moveWithCells="1">
                  <from>
                    <xdr:col>3</xdr:col>
                    <xdr:colOff>19050</xdr:colOff>
                    <xdr:row>62</xdr:row>
                    <xdr:rowOff>171450</xdr:rowOff>
                  </from>
                  <to>
                    <xdr:col>3</xdr:col>
                    <xdr:colOff>619125</xdr:colOff>
                    <xdr:row>64</xdr:row>
                    <xdr:rowOff>19050</xdr:rowOff>
                  </to>
                </anchor>
              </controlPr>
            </control>
          </mc:Choice>
        </mc:AlternateContent>
        <mc:AlternateContent xmlns:mc="http://schemas.openxmlformats.org/markup-compatibility/2006">
          <mc:Choice Requires="x14">
            <control shapeId="1160" r:id="rId90" name="Button 136">
              <controlPr defaultSize="0" print="0" autoFill="0" autoPict="0" macro="[0]!Button74_Click">
                <anchor moveWithCells="1">
                  <from>
                    <xdr:col>4</xdr:col>
                    <xdr:colOff>0</xdr:colOff>
                    <xdr:row>63</xdr:row>
                    <xdr:rowOff>0</xdr:rowOff>
                  </from>
                  <to>
                    <xdr:col>5</xdr:col>
                    <xdr:colOff>0</xdr:colOff>
                    <xdr:row>64</xdr:row>
                    <xdr:rowOff>28575</xdr:rowOff>
                  </to>
                </anchor>
              </controlPr>
            </control>
          </mc:Choice>
        </mc:AlternateContent>
        <mc:AlternateContent xmlns:mc="http://schemas.openxmlformats.org/markup-compatibility/2006">
          <mc:Choice Requires="x14">
            <control shapeId="1161" r:id="rId91" name="Button 137">
              <controlPr defaultSize="0" print="0" autoFill="0" autoPict="0" macro="[0]!Button75_Click">
                <anchor moveWithCells="1">
                  <from>
                    <xdr:col>5</xdr:col>
                    <xdr:colOff>19050</xdr:colOff>
                    <xdr:row>62</xdr:row>
                    <xdr:rowOff>180975</xdr:rowOff>
                  </from>
                  <to>
                    <xdr:col>6</xdr:col>
                    <xdr:colOff>161925</xdr:colOff>
                    <xdr:row>64</xdr:row>
                    <xdr:rowOff>28575</xdr:rowOff>
                  </to>
                </anchor>
              </controlPr>
            </control>
          </mc:Choice>
        </mc:AlternateContent>
        <mc:AlternateContent xmlns:mc="http://schemas.openxmlformats.org/markup-compatibility/2006">
          <mc:Choice Requires="x14">
            <control shapeId="1162" r:id="rId92" name="Button 138">
              <controlPr defaultSize="0" print="0" autoFill="0" autoPict="0" macro="[0]!Button76_Click">
                <anchor moveWithCells="1">
                  <from>
                    <xdr:col>1</xdr:col>
                    <xdr:colOff>9525</xdr:colOff>
                    <xdr:row>64</xdr:row>
                    <xdr:rowOff>171450</xdr:rowOff>
                  </from>
                  <to>
                    <xdr:col>2</xdr:col>
                    <xdr:colOff>9525</xdr:colOff>
                    <xdr:row>65</xdr:row>
                    <xdr:rowOff>171450</xdr:rowOff>
                  </to>
                </anchor>
              </controlPr>
            </control>
          </mc:Choice>
        </mc:AlternateContent>
        <mc:AlternateContent xmlns:mc="http://schemas.openxmlformats.org/markup-compatibility/2006">
          <mc:Choice Requires="x14">
            <control shapeId="1163" r:id="rId93" name="Button 139">
              <controlPr defaultSize="0" print="0" autoFill="0" autoPict="0" macro="[0]!Button77_Click">
                <anchor moveWithCells="1">
                  <from>
                    <xdr:col>2</xdr:col>
                    <xdr:colOff>28575</xdr:colOff>
                    <xdr:row>64</xdr:row>
                    <xdr:rowOff>152400</xdr:rowOff>
                  </from>
                  <to>
                    <xdr:col>3</xdr:col>
                    <xdr:colOff>28575</xdr:colOff>
                    <xdr:row>66</xdr:row>
                    <xdr:rowOff>0</xdr:rowOff>
                  </to>
                </anchor>
              </controlPr>
            </control>
          </mc:Choice>
        </mc:AlternateContent>
        <mc:AlternateContent xmlns:mc="http://schemas.openxmlformats.org/markup-compatibility/2006">
          <mc:Choice Requires="x14">
            <control shapeId="1164" r:id="rId94" name="Button 140">
              <controlPr defaultSize="0" print="0" autoFill="0" autoPict="0" macro="[0]!Button78_Click">
                <anchor moveWithCells="1">
                  <from>
                    <xdr:col>3</xdr:col>
                    <xdr:colOff>47625</xdr:colOff>
                    <xdr:row>64</xdr:row>
                    <xdr:rowOff>142875</xdr:rowOff>
                  </from>
                  <to>
                    <xdr:col>4</xdr:col>
                    <xdr:colOff>19050</xdr:colOff>
                    <xdr:row>66</xdr:row>
                    <xdr:rowOff>0</xdr:rowOff>
                  </to>
                </anchor>
              </controlPr>
            </control>
          </mc:Choice>
        </mc:AlternateContent>
        <mc:AlternateContent xmlns:mc="http://schemas.openxmlformats.org/markup-compatibility/2006">
          <mc:Choice Requires="x14">
            <control shapeId="1165" r:id="rId95" name="Button 141">
              <controlPr defaultSize="0" print="0" autoFill="0" autoPict="0" macro="[0]!Button79_Click">
                <anchor moveWithCells="1">
                  <from>
                    <xdr:col>4</xdr:col>
                    <xdr:colOff>28575</xdr:colOff>
                    <xdr:row>64</xdr:row>
                    <xdr:rowOff>161925</xdr:rowOff>
                  </from>
                  <to>
                    <xdr:col>5</xdr:col>
                    <xdr:colOff>28575</xdr:colOff>
                    <xdr:row>66</xdr:row>
                    <xdr:rowOff>0</xdr:rowOff>
                  </to>
                </anchor>
              </controlPr>
            </control>
          </mc:Choice>
        </mc:AlternateContent>
        <mc:AlternateContent xmlns:mc="http://schemas.openxmlformats.org/markup-compatibility/2006">
          <mc:Choice Requires="x14">
            <control shapeId="1166" r:id="rId96" name="Button 142">
              <controlPr defaultSize="0" print="0" autoFill="0" autoPict="0" macro="[0]!Button80_Click">
                <anchor moveWithCells="1">
                  <from>
                    <xdr:col>5</xdr:col>
                    <xdr:colOff>47625</xdr:colOff>
                    <xdr:row>64</xdr:row>
                    <xdr:rowOff>152400</xdr:rowOff>
                  </from>
                  <to>
                    <xdr:col>6</xdr:col>
                    <xdr:colOff>190500</xdr:colOff>
                    <xdr:row>66</xdr:row>
                    <xdr:rowOff>0</xdr:rowOff>
                  </to>
                </anchor>
              </controlPr>
            </control>
          </mc:Choice>
        </mc:AlternateContent>
        <mc:AlternateContent xmlns:mc="http://schemas.openxmlformats.org/markup-compatibility/2006">
          <mc:Choice Requires="x14">
            <control shapeId="1168" r:id="rId97" name="Button 144">
              <controlPr defaultSize="0" print="0" autoFill="0" autoPict="0" macro="[0]!Button30_Click">
                <anchor moveWithCells="1">
                  <from>
                    <xdr:col>5</xdr:col>
                    <xdr:colOff>9525</xdr:colOff>
                    <xdr:row>43</xdr:row>
                    <xdr:rowOff>171450</xdr:rowOff>
                  </from>
                  <to>
                    <xdr:col>6</xdr:col>
                    <xdr:colOff>9525</xdr:colOff>
                    <xdr:row>45</xdr:row>
                    <xdr:rowOff>28575</xdr:rowOff>
                  </to>
                </anchor>
              </controlPr>
            </control>
          </mc:Choice>
        </mc:AlternateContent>
        <mc:AlternateContent xmlns:mc="http://schemas.openxmlformats.org/markup-compatibility/2006">
          <mc:Choice Requires="x14">
            <control shapeId="1170" r:id="rId98" name="Button 146">
              <controlPr defaultSize="0" print="0" autoFill="0" autoPict="0" macro="[0]!Button110_Click">
                <anchor moveWithCells="1">
                  <from>
                    <xdr:col>5</xdr:col>
                    <xdr:colOff>9525</xdr:colOff>
                    <xdr:row>43</xdr:row>
                    <xdr:rowOff>171450</xdr:rowOff>
                  </from>
                  <to>
                    <xdr:col>6</xdr:col>
                    <xdr:colOff>152400</xdr:colOff>
                    <xdr:row>45</xdr:row>
                    <xdr:rowOff>19050</xdr:rowOff>
                  </to>
                </anchor>
              </controlPr>
            </control>
          </mc:Choice>
        </mc:AlternateContent>
        <mc:AlternateContent xmlns:mc="http://schemas.openxmlformats.org/markup-compatibility/2006">
          <mc:Choice Requires="x14">
            <control shapeId="1171" r:id="rId99" name="Button1">
              <controlPr defaultSize="0" print="0" autoFill="0" autoPict="0" macro="[0]!Button16_Click">
                <anchor moveWithCells="1">
                  <from>
                    <xdr:col>1</xdr:col>
                    <xdr:colOff>9525</xdr:colOff>
                    <xdr:row>16</xdr:row>
                    <xdr:rowOff>9525</xdr:rowOff>
                  </from>
                  <to>
                    <xdr:col>2</xdr:col>
                    <xdr:colOff>0</xdr:colOff>
                    <xdr:row>17</xdr:row>
                    <xdr:rowOff>28575</xdr:rowOff>
                  </to>
                </anchor>
              </controlPr>
            </control>
          </mc:Choice>
        </mc:AlternateContent>
        <mc:AlternateContent xmlns:mc="http://schemas.openxmlformats.org/markup-compatibility/2006">
          <mc:Choice Requires="x14">
            <control shapeId="1172" r:id="rId100" name="Button 148">
              <controlPr defaultSize="0" print="0" autoFill="0" autoPict="0" macro="[0]!Button6_Click">
                <anchor moveWithCells="1">
                  <from>
                    <xdr:col>1</xdr:col>
                    <xdr:colOff>9525</xdr:colOff>
                    <xdr:row>17</xdr:row>
                    <xdr:rowOff>161925</xdr:rowOff>
                  </from>
                  <to>
                    <xdr:col>2</xdr:col>
                    <xdr:colOff>19050</xdr:colOff>
                    <xdr:row>19</xdr:row>
                    <xdr:rowOff>19050</xdr:rowOff>
                  </to>
                </anchor>
              </controlPr>
            </control>
          </mc:Choice>
        </mc:AlternateContent>
        <mc:AlternateContent xmlns:mc="http://schemas.openxmlformats.org/markup-compatibility/2006">
          <mc:Choice Requires="x14">
            <control shapeId="1173" r:id="rId101" name="Button 149">
              <controlPr defaultSize="0" print="0" autoFill="0" autoPict="0" macro="[0]!Button82_Click">
                <anchor moveWithCells="1">
                  <from>
                    <xdr:col>2</xdr:col>
                    <xdr:colOff>19050</xdr:colOff>
                    <xdr:row>17</xdr:row>
                    <xdr:rowOff>161925</xdr:rowOff>
                  </from>
                  <to>
                    <xdr:col>3</xdr:col>
                    <xdr:colOff>28575</xdr:colOff>
                    <xdr:row>19</xdr:row>
                    <xdr:rowOff>28575</xdr:rowOff>
                  </to>
                </anchor>
              </controlPr>
            </control>
          </mc:Choice>
        </mc:AlternateContent>
        <mc:AlternateContent xmlns:mc="http://schemas.openxmlformats.org/markup-compatibility/2006">
          <mc:Choice Requires="x14">
            <control shapeId="1174" r:id="rId102" name="Button 150">
              <controlPr defaultSize="0" print="0" autoFill="0" autoPict="0" macro="[0]!Button83_Click">
                <anchor moveWithCells="1">
                  <from>
                    <xdr:col>3</xdr:col>
                    <xdr:colOff>28575</xdr:colOff>
                    <xdr:row>17</xdr:row>
                    <xdr:rowOff>171450</xdr:rowOff>
                  </from>
                  <to>
                    <xdr:col>4</xdr:col>
                    <xdr:colOff>0</xdr:colOff>
                    <xdr:row>19</xdr:row>
                    <xdr:rowOff>28575</xdr:rowOff>
                  </to>
                </anchor>
              </controlPr>
            </control>
          </mc:Choice>
        </mc:AlternateContent>
        <mc:AlternateContent xmlns:mc="http://schemas.openxmlformats.org/markup-compatibility/2006">
          <mc:Choice Requires="x14">
            <control shapeId="1175" r:id="rId103" name="Button 151">
              <controlPr defaultSize="0" print="0" autoFill="0" autoPict="0" macro="[0]!Button84_Click">
                <anchor moveWithCells="1">
                  <from>
                    <xdr:col>4</xdr:col>
                    <xdr:colOff>57150</xdr:colOff>
                    <xdr:row>17</xdr:row>
                    <xdr:rowOff>180975</xdr:rowOff>
                  </from>
                  <to>
                    <xdr:col>5</xdr:col>
                    <xdr:colOff>57150</xdr:colOff>
                    <xdr:row>19</xdr:row>
                    <xdr:rowOff>38100</xdr:rowOff>
                  </to>
                </anchor>
              </controlPr>
            </control>
          </mc:Choice>
        </mc:AlternateContent>
        <mc:AlternateContent xmlns:mc="http://schemas.openxmlformats.org/markup-compatibility/2006">
          <mc:Choice Requires="x14">
            <control shapeId="1176" r:id="rId104" name="Button 152">
              <controlPr defaultSize="0" print="0" autoFill="0" autoPict="0" macro="[0]!Button85_Click">
                <anchor moveWithCells="1">
                  <from>
                    <xdr:col>5</xdr:col>
                    <xdr:colOff>57150</xdr:colOff>
                    <xdr:row>17</xdr:row>
                    <xdr:rowOff>171450</xdr:rowOff>
                  </from>
                  <to>
                    <xdr:col>6</xdr:col>
                    <xdr:colOff>200025</xdr:colOff>
                    <xdr:row>19</xdr:row>
                    <xdr:rowOff>19050</xdr:rowOff>
                  </to>
                </anchor>
              </controlPr>
            </control>
          </mc:Choice>
        </mc:AlternateContent>
        <mc:AlternateContent xmlns:mc="http://schemas.openxmlformats.org/markup-compatibility/2006">
          <mc:Choice Requires="x14">
            <control shapeId="1177" r:id="rId105" name="Button 153">
              <controlPr defaultSize="0" print="0" autoFill="0" autoPict="0" macro="[0]!Button6_Click">
                <anchor moveWithCells="1">
                  <from>
                    <xdr:col>1</xdr:col>
                    <xdr:colOff>9525</xdr:colOff>
                    <xdr:row>19</xdr:row>
                    <xdr:rowOff>161925</xdr:rowOff>
                  </from>
                  <to>
                    <xdr:col>2</xdr:col>
                    <xdr:colOff>19050</xdr:colOff>
                    <xdr:row>21</xdr:row>
                    <xdr:rowOff>19050</xdr:rowOff>
                  </to>
                </anchor>
              </controlPr>
            </control>
          </mc:Choice>
        </mc:AlternateContent>
        <mc:AlternateContent xmlns:mc="http://schemas.openxmlformats.org/markup-compatibility/2006">
          <mc:Choice Requires="x14">
            <control shapeId="1178" r:id="rId106" name="Button 154">
              <controlPr defaultSize="0" print="0" autoFill="0" autoPict="0" macro="[0]!Button87_Click">
                <anchor moveWithCells="1">
                  <from>
                    <xdr:col>2</xdr:col>
                    <xdr:colOff>19050</xdr:colOff>
                    <xdr:row>19</xdr:row>
                    <xdr:rowOff>161925</xdr:rowOff>
                  </from>
                  <to>
                    <xdr:col>3</xdr:col>
                    <xdr:colOff>28575</xdr:colOff>
                    <xdr:row>21</xdr:row>
                    <xdr:rowOff>28575</xdr:rowOff>
                  </to>
                </anchor>
              </controlPr>
            </control>
          </mc:Choice>
        </mc:AlternateContent>
        <mc:AlternateContent xmlns:mc="http://schemas.openxmlformats.org/markup-compatibility/2006">
          <mc:Choice Requires="x14">
            <control shapeId="1179" r:id="rId107" name="Button 155">
              <controlPr defaultSize="0" print="0" autoFill="0" autoPict="0" macro="[0]!Button88_Click">
                <anchor moveWithCells="1">
                  <from>
                    <xdr:col>3</xdr:col>
                    <xdr:colOff>28575</xdr:colOff>
                    <xdr:row>19</xdr:row>
                    <xdr:rowOff>171450</xdr:rowOff>
                  </from>
                  <to>
                    <xdr:col>4</xdr:col>
                    <xdr:colOff>0</xdr:colOff>
                    <xdr:row>21</xdr:row>
                    <xdr:rowOff>28575</xdr:rowOff>
                  </to>
                </anchor>
              </controlPr>
            </control>
          </mc:Choice>
        </mc:AlternateContent>
        <mc:AlternateContent xmlns:mc="http://schemas.openxmlformats.org/markup-compatibility/2006">
          <mc:Choice Requires="x14">
            <control shapeId="1180" r:id="rId108" name="Button 156">
              <controlPr defaultSize="0" print="0" autoFill="0" autoPict="0" macro="[0]!Button89_Click">
                <anchor moveWithCells="1">
                  <from>
                    <xdr:col>4</xdr:col>
                    <xdr:colOff>57150</xdr:colOff>
                    <xdr:row>19</xdr:row>
                    <xdr:rowOff>180975</xdr:rowOff>
                  </from>
                  <to>
                    <xdr:col>5</xdr:col>
                    <xdr:colOff>57150</xdr:colOff>
                    <xdr:row>21</xdr:row>
                    <xdr:rowOff>38100</xdr:rowOff>
                  </to>
                </anchor>
              </controlPr>
            </control>
          </mc:Choice>
        </mc:AlternateContent>
        <mc:AlternateContent xmlns:mc="http://schemas.openxmlformats.org/markup-compatibility/2006">
          <mc:Choice Requires="x14">
            <control shapeId="1181" r:id="rId109" name="Button 157">
              <controlPr defaultSize="0" print="0" autoFill="0" autoPict="0" macro="[0]!Button90_Click">
                <anchor moveWithCells="1">
                  <from>
                    <xdr:col>5</xdr:col>
                    <xdr:colOff>57150</xdr:colOff>
                    <xdr:row>19</xdr:row>
                    <xdr:rowOff>171450</xdr:rowOff>
                  </from>
                  <to>
                    <xdr:col>6</xdr:col>
                    <xdr:colOff>200025</xdr:colOff>
                    <xdr:row>21</xdr:row>
                    <xdr:rowOff>19050</xdr:rowOff>
                  </to>
                </anchor>
              </controlPr>
            </control>
          </mc:Choice>
        </mc:AlternateContent>
        <mc:AlternateContent xmlns:mc="http://schemas.openxmlformats.org/markup-compatibility/2006">
          <mc:Choice Requires="x14">
            <control shapeId="1183" r:id="rId110" name="Button 159">
              <controlPr defaultSize="0" print="0" autoFill="0" autoPict="0" macro="[0]!Button81_Click">
                <anchor moveWithCells="1">
                  <from>
                    <xdr:col>1</xdr:col>
                    <xdr:colOff>9525</xdr:colOff>
                    <xdr:row>18</xdr:row>
                    <xdr:rowOff>9525</xdr:rowOff>
                  </from>
                  <to>
                    <xdr:col>2</xdr:col>
                    <xdr:colOff>0</xdr:colOff>
                    <xdr:row>19</xdr:row>
                    <xdr:rowOff>28575</xdr:rowOff>
                  </to>
                </anchor>
              </controlPr>
            </control>
          </mc:Choice>
        </mc:AlternateContent>
        <mc:AlternateContent xmlns:mc="http://schemas.openxmlformats.org/markup-compatibility/2006">
          <mc:Choice Requires="x14">
            <control shapeId="1185" r:id="rId111" name="Button 161">
              <controlPr defaultSize="0" print="0" autoFill="0" autoPict="0" macro="[0]!Button86_Click">
                <anchor moveWithCells="1">
                  <from>
                    <xdr:col>1</xdr:col>
                    <xdr:colOff>9525</xdr:colOff>
                    <xdr:row>20</xdr:row>
                    <xdr:rowOff>9525</xdr:rowOff>
                  </from>
                  <to>
                    <xdr:col>2</xdr:col>
                    <xdr:colOff>0</xdr:colOff>
                    <xdr:row>21</xdr:row>
                    <xdr:rowOff>28575</xdr:rowOff>
                  </to>
                </anchor>
              </controlPr>
            </control>
          </mc:Choice>
        </mc:AlternateContent>
        <mc:AlternateContent xmlns:mc="http://schemas.openxmlformats.org/markup-compatibility/2006">
          <mc:Choice Requires="x14">
            <control shapeId="1186" r:id="rId112" name="Button 162">
              <controlPr defaultSize="0" print="0" autoFill="0" autoPict="0" macro="[0]!Button6_Click">
                <anchor moveWithCells="1">
                  <from>
                    <xdr:col>1</xdr:col>
                    <xdr:colOff>9525</xdr:colOff>
                    <xdr:row>21</xdr:row>
                    <xdr:rowOff>161925</xdr:rowOff>
                  </from>
                  <to>
                    <xdr:col>2</xdr:col>
                    <xdr:colOff>19050</xdr:colOff>
                    <xdr:row>23</xdr:row>
                    <xdr:rowOff>19050</xdr:rowOff>
                  </to>
                </anchor>
              </controlPr>
            </control>
          </mc:Choice>
        </mc:AlternateContent>
        <mc:AlternateContent xmlns:mc="http://schemas.openxmlformats.org/markup-compatibility/2006">
          <mc:Choice Requires="x14">
            <control shapeId="1187" r:id="rId113" name="Button 163">
              <controlPr defaultSize="0" print="0" autoFill="0" autoPict="0" macro="[0]!Button92_Click">
                <anchor moveWithCells="1">
                  <from>
                    <xdr:col>2</xdr:col>
                    <xdr:colOff>19050</xdr:colOff>
                    <xdr:row>21</xdr:row>
                    <xdr:rowOff>161925</xdr:rowOff>
                  </from>
                  <to>
                    <xdr:col>3</xdr:col>
                    <xdr:colOff>28575</xdr:colOff>
                    <xdr:row>23</xdr:row>
                    <xdr:rowOff>28575</xdr:rowOff>
                  </to>
                </anchor>
              </controlPr>
            </control>
          </mc:Choice>
        </mc:AlternateContent>
        <mc:AlternateContent xmlns:mc="http://schemas.openxmlformats.org/markup-compatibility/2006">
          <mc:Choice Requires="x14">
            <control shapeId="1188" r:id="rId114" name="Button 164">
              <controlPr defaultSize="0" print="0" autoFill="0" autoPict="0" macro="[0]!Button93_Click">
                <anchor moveWithCells="1">
                  <from>
                    <xdr:col>3</xdr:col>
                    <xdr:colOff>28575</xdr:colOff>
                    <xdr:row>21</xdr:row>
                    <xdr:rowOff>171450</xdr:rowOff>
                  </from>
                  <to>
                    <xdr:col>4</xdr:col>
                    <xdr:colOff>0</xdr:colOff>
                    <xdr:row>23</xdr:row>
                    <xdr:rowOff>28575</xdr:rowOff>
                  </to>
                </anchor>
              </controlPr>
            </control>
          </mc:Choice>
        </mc:AlternateContent>
        <mc:AlternateContent xmlns:mc="http://schemas.openxmlformats.org/markup-compatibility/2006">
          <mc:Choice Requires="x14">
            <control shapeId="1189" r:id="rId115" name="Button 165">
              <controlPr defaultSize="0" print="0" autoFill="0" autoPict="0" macro="[0]!Button94_Click">
                <anchor moveWithCells="1">
                  <from>
                    <xdr:col>4</xdr:col>
                    <xdr:colOff>57150</xdr:colOff>
                    <xdr:row>21</xdr:row>
                    <xdr:rowOff>180975</xdr:rowOff>
                  </from>
                  <to>
                    <xdr:col>5</xdr:col>
                    <xdr:colOff>57150</xdr:colOff>
                    <xdr:row>23</xdr:row>
                    <xdr:rowOff>38100</xdr:rowOff>
                  </to>
                </anchor>
              </controlPr>
            </control>
          </mc:Choice>
        </mc:AlternateContent>
        <mc:AlternateContent xmlns:mc="http://schemas.openxmlformats.org/markup-compatibility/2006">
          <mc:Choice Requires="x14">
            <control shapeId="1190" r:id="rId116" name="Button 166">
              <controlPr defaultSize="0" print="0" autoFill="0" autoPict="0" macro="[0]!Button95_Click">
                <anchor moveWithCells="1">
                  <from>
                    <xdr:col>5</xdr:col>
                    <xdr:colOff>57150</xdr:colOff>
                    <xdr:row>21</xdr:row>
                    <xdr:rowOff>171450</xdr:rowOff>
                  </from>
                  <to>
                    <xdr:col>6</xdr:col>
                    <xdr:colOff>200025</xdr:colOff>
                    <xdr:row>23</xdr:row>
                    <xdr:rowOff>19050</xdr:rowOff>
                  </to>
                </anchor>
              </controlPr>
            </control>
          </mc:Choice>
        </mc:AlternateContent>
        <mc:AlternateContent xmlns:mc="http://schemas.openxmlformats.org/markup-compatibility/2006">
          <mc:Choice Requires="x14">
            <control shapeId="1192" r:id="rId117" name="Button 168">
              <controlPr defaultSize="0" print="0" autoFill="0" autoPict="0" macro="[0]!Button91_Click">
                <anchor moveWithCells="1">
                  <from>
                    <xdr:col>1</xdr:col>
                    <xdr:colOff>9525</xdr:colOff>
                    <xdr:row>22</xdr:row>
                    <xdr:rowOff>9525</xdr:rowOff>
                  </from>
                  <to>
                    <xdr:col>2</xdr:col>
                    <xdr:colOff>0</xdr:colOff>
                    <xdr:row>23</xdr:row>
                    <xdr:rowOff>28575</xdr:rowOff>
                  </to>
                </anchor>
              </controlPr>
            </control>
          </mc:Choice>
        </mc:AlternateContent>
        <mc:AlternateContent xmlns:mc="http://schemas.openxmlformats.org/markup-compatibility/2006">
          <mc:Choice Requires="x14">
            <control shapeId="1195" r:id="rId118" name="Button 171">
              <controlPr defaultSize="0" print="0" autoFill="0" autoPict="0" macro="[0]!Button6_Click">
                <anchor moveWithCells="1">
                  <from>
                    <xdr:col>1</xdr:col>
                    <xdr:colOff>9525</xdr:colOff>
                    <xdr:row>12</xdr:row>
                    <xdr:rowOff>9525</xdr:rowOff>
                  </from>
                  <to>
                    <xdr:col>2</xdr:col>
                    <xdr:colOff>0</xdr:colOff>
                    <xdr:row>13</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230CF-7E20-492B-819D-060C3EFE484A}">
  <sheetPr codeName="Sheet4"/>
  <dimension ref="A1:K40"/>
  <sheetViews>
    <sheetView zoomScale="82" workbookViewId="0">
      <selection activeCell="B43" sqref="B43"/>
    </sheetView>
  </sheetViews>
  <sheetFormatPr defaultRowHeight="15" x14ac:dyDescent="0.25"/>
  <cols>
    <col min="1" max="1" width="47.85546875" customWidth="1"/>
    <col min="2" max="2" width="38.7109375" bestFit="1" customWidth="1"/>
    <col min="3" max="3" width="17.42578125" customWidth="1"/>
    <col min="4" max="4" width="21" bestFit="1" customWidth="1"/>
    <col min="5" max="5" width="17.5703125" customWidth="1"/>
    <col min="9" max="9" width="15.42578125" bestFit="1" customWidth="1"/>
  </cols>
  <sheetData>
    <row r="1" spans="1:11" ht="17.25" customHeight="1" x14ac:dyDescent="0.25">
      <c r="A1" s="21" t="s">
        <v>171</v>
      </c>
      <c r="B1" s="22" t="s">
        <v>172</v>
      </c>
      <c r="C1" s="22" t="s">
        <v>173</v>
      </c>
      <c r="D1" s="22" t="s">
        <v>174</v>
      </c>
      <c r="E1" s="22" t="s">
        <v>175</v>
      </c>
      <c r="I1" s="21" t="s">
        <v>171</v>
      </c>
      <c r="J1" s="21" t="s">
        <v>175</v>
      </c>
      <c r="K1" s="21" t="s">
        <v>176</v>
      </c>
    </row>
    <row r="2" spans="1:11" x14ac:dyDescent="0.25">
      <c r="A2" s="44" t="s">
        <v>123</v>
      </c>
      <c r="B2" s="23" t="s">
        <v>177</v>
      </c>
      <c r="C2" s="23">
        <v>5</v>
      </c>
      <c r="D2" s="23">
        <v>0</v>
      </c>
      <c r="E2" s="23">
        <v>5</v>
      </c>
      <c r="I2" s="24" t="s">
        <v>123</v>
      </c>
      <c r="J2" s="23">
        <f>E10</f>
        <v>123</v>
      </c>
      <c r="K2" s="25">
        <f ca="1">J2/$K$6</f>
        <v>0.40065146579804561</v>
      </c>
    </row>
    <row r="3" spans="1:11" x14ac:dyDescent="0.25">
      <c r="A3" s="45"/>
      <c r="B3" s="23" t="s">
        <v>178</v>
      </c>
      <c r="C3" s="23">
        <v>5</v>
      </c>
      <c r="D3" s="23">
        <v>15</v>
      </c>
      <c r="E3" s="23">
        <v>20</v>
      </c>
      <c r="I3" s="24" t="s">
        <v>106</v>
      </c>
      <c r="J3" s="23">
        <f>E18</f>
        <v>175</v>
      </c>
      <c r="K3" s="25">
        <f t="shared" ref="K3:K6" ca="1" si="0">J3/$K$6</f>
        <v>0.57003257328990231</v>
      </c>
    </row>
    <row r="4" spans="1:11" x14ac:dyDescent="0.25">
      <c r="A4" s="45"/>
      <c r="B4" s="23" t="s">
        <v>179</v>
      </c>
      <c r="C4" s="23">
        <v>2</v>
      </c>
      <c r="D4" s="23">
        <v>4</v>
      </c>
      <c r="E4" s="23">
        <v>6</v>
      </c>
      <c r="I4" s="24" t="s">
        <v>89</v>
      </c>
      <c r="J4" s="23">
        <f>E21</f>
        <v>4</v>
      </c>
      <c r="K4" s="25">
        <f t="shared" ca="1" si="0"/>
        <v>1.3029315960912053E-2</v>
      </c>
    </row>
    <row r="5" spans="1:11" x14ac:dyDescent="0.25">
      <c r="A5" s="45"/>
      <c r="B5" s="23" t="s">
        <v>180</v>
      </c>
      <c r="C5" s="23">
        <v>12</v>
      </c>
      <c r="D5" s="23">
        <v>4</v>
      </c>
      <c r="E5" s="23">
        <v>16</v>
      </c>
      <c r="I5" s="24" t="s">
        <v>125</v>
      </c>
      <c r="J5" s="23">
        <f>E24</f>
        <v>5</v>
      </c>
      <c r="K5" s="25">
        <f t="shared" ca="1" si="0"/>
        <v>1.6286644951140065E-2</v>
      </c>
    </row>
    <row r="6" spans="1:11" x14ac:dyDescent="0.25">
      <c r="A6" s="45"/>
      <c r="B6" s="23" t="s">
        <v>181</v>
      </c>
      <c r="C6" s="23">
        <v>4</v>
      </c>
      <c r="D6" s="23">
        <v>3</v>
      </c>
      <c r="E6" s="23">
        <v>7</v>
      </c>
      <c r="I6" s="24" t="s">
        <v>175</v>
      </c>
      <c r="J6" s="26">
        <f>SUM(J2:J5)</f>
        <v>307</v>
      </c>
      <c r="K6" s="27">
        <f t="shared" ca="1" si="0"/>
        <v>1</v>
      </c>
    </row>
    <row r="7" spans="1:11" x14ac:dyDescent="0.25">
      <c r="A7" s="45"/>
      <c r="B7" s="23" t="s">
        <v>182</v>
      </c>
      <c r="C7" s="23">
        <v>23</v>
      </c>
      <c r="D7" s="23">
        <v>6</v>
      </c>
      <c r="E7" s="23">
        <v>29</v>
      </c>
    </row>
    <row r="8" spans="1:11" x14ac:dyDescent="0.25">
      <c r="A8" s="45"/>
      <c r="B8" s="23" t="s">
        <v>183</v>
      </c>
      <c r="C8" s="23">
        <v>26</v>
      </c>
      <c r="D8" s="23">
        <v>6</v>
      </c>
      <c r="E8" s="23">
        <v>32</v>
      </c>
    </row>
    <row r="9" spans="1:11" x14ac:dyDescent="0.25">
      <c r="A9" s="46"/>
      <c r="B9" s="23" t="s">
        <v>184</v>
      </c>
      <c r="C9" s="23">
        <v>2</v>
      </c>
      <c r="D9" s="23">
        <v>6</v>
      </c>
      <c r="E9" s="23">
        <v>8</v>
      </c>
    </row>
    <row r="10" spans="1:11" x14ac:dyDescent="0.25">
      <c r="A10" s="23"/>
      <c r="B10" s="28" t="s">
        <v>175</v>
      </c>
      <c r="C10" s="29">
        <v>79</v>
      </c>
      <c r="D10" s="29">
        <v>44</v>
      </c>
      <c r="E10" s="21">
        <v>123</v>
      </c>
    </row>
    <row r="11" spans="1:11" x14ac:dyDescent="0.25">
      <c r="A11" s="47" t="s">
        <v>106</v>
      </c>
      <c r="B11" s="23" t="s">
        <v>185</v>
      </c>
      <c r="C11" s="23">
        <v>8</v>
      </c>
      <c r="D11" s="23">
        <v>3</v>
      </c>
      <c r="E11" s="23">
        <v>11</v>
      </c>
    </row>
    <row r="12" spans="1:11" x14ac:dyDescent="0.25">
      <c r="A12" s="47"/>
      <c r="B12" s="23" t="s">
        <v>186</v>
      </c>
      <c r="C12" s="23">
        <v>10</v>
      </c>
      <c r="D12" s="23">
        <v>10</v>
      </c>
      <c r="E12" s="23">
        <v>20</v>
      </c>
    </row>
    <row r="13" spans="1:11" x14ac:dyDescent="0.25">
      <c r="A13" s="47"/>
      <c r="B13" s="23" t="s">
        <v>187</v>
      </c>
      <c r="C13" s="23">
        <v>41</v>
      </c>
      <c r="D13" s="23">
        <v>25</v>
      </c>
      <c r="E13" s="23">
        <v>66</v>
      </c>
    </row>
    <row r="14" spans="1:11" x14ac:dyDescent="0.25">
      <c r="A14" s="47"/>
      <c r="B14" s="23" t="s">
        <v>188</v>
      </c>
      <c r="C14" s="23">
        <v>0</v>
      </c>
      <c r="D14" s="23">
        <v>3</v>
      </c>
      <c r="E14" s="23">
        <v>3</v>
      </c>
    </row>
    <row r="15" spans="1:11" x14ac:dyDescent="0.25">
      <c r="A15" s="47"/>
      <c r="B15" s="23" t="s">
        <v>189</v>
      </c>
      <c r="C15" s="23">
        <v>18</v>
      </c>
      <c r="D15" s="23">
        <v>4</v>
      </c>
      <c r="E15" s="23">
        <v>22</v>
      </c>
    </row>
    <row r="16" spans="1:11" x14ac:dyDescent="0.25">
      <c r="A16" s="47"/>
      <c r="B16" s="23" t="s">
        <v>190</v>
      </c>
      <c r="C16" s="23">
        <v>3</v>
      </c>
      <c r="D16" s="23">
        <v>4</v>
      </c>
      <c r="E16" s="23">
        <v>7</v>
      </c>
    </row>
    <row r="17" spans="1:5" x14ac:dyDescent="0.25">
      <c r="A17" s="47"/>
      <c r="B17" s="23" t="s">
        <v>191</v>
      </c>
      <c r="C17" s="23">
        <v>33</v>
      </c>
      <c r="D17" s="23">
        <v>13</v>
      </c>
      <c r="E17" s="23">
        <v>46</v>
      </c>
    </row>
    <row r="18" spans="1:5" x14ac:dyDescent="0.25">
      <c r="A18" s="23"/>
      <c r="B18" s="28" t="s">
        <v>175</v>
      </c>
      <c r="C18" s="29">
        <v>113</v>
      </c>
      <c r="D18" s="29">
        <v>62</v>
      </c>
      <c r="E18" s="21">
        <v>175</v>
      </c>
    </row>
    <row r="19" spans="1:5" x14ac:dyDescent="0.25">
      <c r="A19" s="47" t="s">
        <v>89</v>
      </c>
      <c r="B19" s="23" t="s">
        <v>192</v>
      </c>
      <c r="C19" s="23">
        <v>1</v>
      </c>
      <c r="D19" s="23">
        <v>1</v>
      </c>
      <c r="E19" s="23">
        <v>2</v>
      </c>
    </row>
    <row r="20" spans="1:5" x14ac:dyDescent="0.25">
      <c r="A20" s="47"/>
      <c r="B20" s="23" t="s">
        <v>193</v>
      </c>
      <c r="C20" s="23">
        <v>2</v>
      </c>
      <c r="D20" s="23">
        <v>0</v>
      </c>
      <c r="E20" s="23">
        <v>2</v>
      </c>
    </row>
    <row r="21" spans="1:5" x14ac:dyDescent="0.25">
      <c r="A21" s="23"/>
      <c r="B21" s="28" t="s">
        <v>175</v>
      </c>
      <c r="C21" s="29">
        <v>3</v>
      </c>
      <c r="D21" s="29">
        <v>1</v>
      </c>
      <c r="E21" s="21">
        <v>4</v>
      </c>
    </row>
    <row r="22" spans="1:5" x14ac:dyDescent="0.25">
      <c r="A22" s="47" t="s">
        <v>125</v>
      </c>
      <c r="B22" s="23" t="s">
        <v>194</v>
      </c>
      <c r="C22" s="23">
        <v>1</v>
      </c>
      <c r="D22" s="23">
        <v>1</v>
      </c>
      <c r="E22" s="23">
        <v>2</v>
      </c>
    </row>
    <row r="23" spans="1:5" x14ac:dyDescent="0.25">
      <c r="A23" s="47"/>
      <c r="B23" s="23" t="s">
        <v>195</v>
      </c>
      <c r="C23" s="23">
        <v>2</v>
      </c>
      <c r="D23" s="23">
        <v>1</v>
      </c>
      <c r="E23" s="23">
        <v>3</v>
      </c>
    </row>
    <row r="24" spans="1:5" x14ac:dyDescent="0.25">
      <c r="A24" s="23"/>
      <c r="B24" s="28" t="s">
        <v>175</v>
      </c>
      <c r="C24" s="29">
        <v>3</v>
      </c>
      <c r="D24" s="29">
        <v>2</v>
      </c>
      <c r="E24" s="21">
        <v>5</v>
      </c>
    </row>
    <row r="27" spans="1:5" x14ac:dyDescent="0.25">
      <c r="A27" s="41" t="s">
        <v>196</v>
      </c>
    </row>
    <row r="28" spans="1:5" x14ac:dyDescent="0.25">
      <c r="A28" s="42" t="s">
        <v>197</v>
      </c>
    </row>
    <row r="29" spans="1:5" x14ac:dyDescent="0.25">
      <c r="A29" s="42" t="s">
        <v>198</v>
      </c>
    </row>
    <row r="30" spans="1:5" x14ac:dyDescent="0.25">
      <c r="A30" s="42" t="s">
        <v>199</v>
      </c>
    </row>
    <row r="31" spans="1:5" x14ac:dyDescent="0.25">
      <c r="A31" s="41" t="s">
        <v>200</v>
      </c>
    </row>
    <row r="32" spans="1:5" x14ac:dyDescent="0.25">
      <c r="A32" s="43" t="s">
        <v>201</v>
      </c>
    </row>
    <row r="33" spans="1:1" x14ac:dyDescent="0.25">
      <c r="A33" s="43" t="s">
        <v>202</v>
      </c>
    </row>
    <row r="34" spans="1:1" x14ac:dyDescent="0.25">
      <c r="A34" s="43" t="s">
        <v>203</v>
      </c>
    </row>
    <row r="35" spans="1:1" x14ac:dyDescent="0.25">
      <c r="A35" s="41" t="s">
        <v>204</v>
      </c>
    </row>
    <row r="36" spans="1:1" x14ac:dyDescent="0.25">
      <c r="A36" s="41"/>
    </row>
    <row r="37" spans="1:1" x14ac:dyDescent="0.25">
      <c r="A37" s="41"/>
    </row>
    <row r="38" spans="1:1" x14ac:dyDescent="0.25">
      <c r="A38" s="41"/>
    </row>
    <row r="39" spans="1:1" x14ac:dyDescent="0.25">
      <c r="A39" s="41" t="s">
        <v>205</v>
      </c>
    </row>
    <row r="40" spans="1:1" x14ac:dyDescent="0.25">
      <c r="A40" t="s">
        <v>206</v>
      </c>
    </row>
  </sheetData>
  <mergeCells count="4">
    <mergeCell ref="A2:A9"/>
    <mergeCell ref="A11:A17"/>
    <mergeCell ref="A19:A20"/>
    <mergeCell ref="A22:A2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Analysis</vt:lpstr>
      <vt:lpstr>Questions and Summary</vt:lpstr>
      <vt:lpstr>Findings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djw0393</dc:creator>
  <cp:keywords/>
  <dc:description/>
  <cp:lastModifiedBy>Daniel Wild [djw0393]</cp:lastModifiedBy>
  <cp:revision/>
  <dcterms:created xsi:type="dcterms:W3CDTF">2022-03-13T21:32:54Z</dcterms:created>
  <dcterms:modified xsi:type="dcterms:W3CDTF">2022-11-24T01:45:06Z</dcterms:modified>
  <cp:category/>
  <cp:contentStatus/>
</cp:coreProperties>
</file>