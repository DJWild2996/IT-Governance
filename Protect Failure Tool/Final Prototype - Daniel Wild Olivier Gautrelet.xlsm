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tewaka-my.sharepoint.com/personal/djw0393_arastudent_ac_nz/Documents/Year 3/Semester 1/IT Governance/Assessment 1/Submitted version/BCIS303 - Ass#1 - Olivier Gautrelet Daniel Wild/"/>
    </mc:Choice>
  </mc:AlternateContent>
  <xr:revisionPtr revIDLastSave="500" documentId="108_{68805D2A-F216-433C-A231-2AA782B83552}" xr6:coauthVersionLast="47" xr6:coauthVersionMax="47" xr10:uidLastSave="{0987387C-1F16-43CA-915F-E35D472B39AB}"/>
  <bookViews>
    <workbookView xWindow="-120" yWindow="-120" windowWidth="38640" windowHeight="21240" activeTab="2" xr2:uid="{AF18A595-1C80-4B1E-9321-76178412EFE9}"/>
  </bookViews>
  <sheets>
    <sheet name="Instructions" sheetId="3" r:id="rId1"/>
    <sheet name="Analysis" sheetId="4" r:id="rId2"/>
    <sheet name="Questions and Summary" sheetId="1" r:id="rId3"/>
    <sheet name="Findings" sheetId="5" r:id="rId4"/>
  </sheets>
  <externalReferences>
    <externalReference r:id="rId5"/>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4" i="1" l="1"/>
  <c r="I5" i="1"/>
  <c r="I4" i="1"/>
  <c r="K7" i="1"/>
  <c r="K6" i="1"/>
  <c r="K5" i="1"/>
  <c r="J2" i="5" l="1"/>
  <c r="J5" i="5"/>
  <c r="J4" i="5"/>
  <c r="J3" i="5"/>
  <c r="J6" i="5" l="1"/>
  <c r="I7" i="1" l="1"/>
  <c r="L7" i="1" s="1"/>
  <c r="N7" i="1" s="1"/>
  <c r="I6" i="1"/>
  <c r="L6" i="1" s="1"/>
  <c r="N6" i="1" s="1"/>
  <c r="L5" i="1"/>
  <c r="N5" i="1" s="1"/>
  <c r="L4" i="1"/>
  <c r="N4" i="1" s="1"/>
  <c r="M7" i="1" l="1"/>
  <c r="O7" i="1" s="1"/>
  <c r="M6" i="1"/>
  <c r="O6" i="1" s="1"/>
  <c r="M4" i="1"/>
  <c r="O4" i="1" s="1"/>
  <c r="M5" i="1"/>
  <c r="O5" i="1" s="1"/>
  <c r="K4" i="5"/>
  <c r="K2" i="5"/>
  <c r="K3" i="5"/>
  <c r="K6" i="5"/>
  <c r="K5" i="5"/>
</calcChain>
</file>

<file path=xl/sharedStrings.xml><?xml version="1.0" encoding="utf-8"?>
<sst xmlns="http://schemas.openxmlformats.org/spreadsheetml/2006/main" count="246" uniqueCount="117">
  <si>
    <t>1. Complete a thematic analysis on your project using the Analysis tab</t>
  </si>
  <si>
    <t>Thematic analysis</t>
  </si>
  <si>
    <t>Stop one: What are you lookig for? What is your discvery question/purpose</t>
  </si>
  <si>
    <t>factor that may influence the outcome of the project</t>
  </si>
  <si>
    <t> </t>
  </si>
  <si>
    <t>Reference (resources and page number)</t>
  </si>
  <si>
    <t>Extracts (text from the resourcse)</t>
  </si>
  <si>
    <t>What does it tell me (summary)</t>
  </si>
  <si>
    <t>Theme/Factor (typically data that helps answering your question)</t>
  </si>
  <si>
    <t>Grouping of factor</t>
  </si>
  <si>
    <t>Theme occurrence</t>
  </si>
  <si>
    <t>Total occurrences 0</t>
  </si>
  <si>
    <t>Group of factor</t>
  </si>
  <si>
    <t>Themes/factors</t>
  </si>
  <si>
    <t>Occurrence QH</t>
  </si>
  <si>
    <t>Occurrence NOVOPAY</t>
  </si>
  <si>
    <t>Total</t>
  </si>
  <si>
    <t>Percent</t>
  </si>
  <si>
    <t>People</t>
  </si>
  <si>
    <t>Undermined Motivation</t>
  </si>
  <si>
    <t>Ineffective stakeholder management</t>
  </si>
  <si>
    <t>Process</t>
  </si>
  <si>
    <t>Individual capabilities</t>
  </si>
  <si>
    <t>Technology</t>
  </si>
  <si>
    <t>Ineffective Leadership</t>
  </si>
  <si>
    <t>Product</t>
  </si>
  <si>
    <t>Team lack of experience</t>
  </si>
  <si>
    <t>Poor management decisions</t>
  </si>
  <si>
    <t>Insufficient communication</t>
  </si>
  <si>
    <t>Lack of accountability</t>
  </si>
  <si>
    <t>Poor estimation and/or Scheduling</t>
  </si>
  <si>
    <t>Insufficient risk management</t>
  </si>
  <si>
    <t>Insufficient Planning</t>
  </si>
  <si>
    <t>Short-changed quality assurance</t>
  </si>
  <si>
    <t>Poor requirements determination</t>
  </si>
  <si>
    <t>Contractor failure</t>
  </si>
  <si>
    <t>Insufficient management controls</t>
  </si>
  <si>
    <t>Silver-bullet syndrome</t>
  </si>
  <si>
    <t>Overestimated savings from new tool</t>
  </si>
  <si>
    <t>Scope creep</t>
  </si>
  <si>
    <t>Product non-functional</t>
  </si>
  <si>
    <t>BCIS303 – Information Technology Governance Project One – Risk Assessment for Effective Governance of IT Deployment Tool</t>
  </si>
  <si>
    <t>Overall</t>
  </si>
  <si>
    <t>Q1</t>
  </si>
  <si>
    <t>Q2</t>
  </si>
  <si>
    <t>Q3</t>
  </si>
  <si>
    <t>Q4</t>
  </si>
  <si>
    <t>Q5</t>
  </si>
  <si>
    <t>Q6</t>
  </si>
  <si>
    <t>Q7</t>
  </si>
  <si>
    <t>Score</t>
  </si>
  <si>
    <t>Max Score</t>
  </si>
  <si>
    <t>Weighting</t>
  </si>
  <si>
    <t>Score percentage</t>
  </si>
  <si>
    <t>Chance of Failure</t>
  </si>
  <si>
    <t>Chance of Success</t>
  </si>
  <si>
    <t>Feedback</t>
  </si>
  <si>
    <t>NA</t>
  </si>
  <si>
    <t>How would you rate the project manager's level of experience in project management roles?</t>
  </si>
  <si>
    <t>Rating 1</t>
  </si>
  <si>
    <t>How would you rate the effectiveness of the teams communication methods?</t>
  </si>
  <si>
    <t>Rating 2</t>
  </si>
  <si>
    <t>How would you rate the robustness of the communication plan? (This includes communication with stakeholders (board, contractors, customers))</t>
  </si>
  <si>
    <t>Rating 3</t>
  </si>
  <si>
    <t>How would you rate the clarity of the projects leadership structure?</t>
  </si>
  <si>
    <t>Rating 4</t>
  </si>
  <si>
    <t xml:space="preserve">How would you rate the effectiveness of the projects method of managing stakeholder interactions and expectations? </t>
  </si>
  <si>
    <t>Rating 5</t>
  </si>
  <si>
    <t>How would you rate the control measures to ensure individual's perform consistency?</t>
  </si>
  <si>
    <t>Rating 6</t>
  </si>
  <si>
    <t>How would you rate the effectiveness of the projects decision making process? (Does is go through multiple people)</t>
  </si>
  <si>
    <t>Rating 7</t>
  </si>
  <si>
    <t>Process-related</t>
  </si>
  <si>
    <t xml:space="preserve">How would you rate the robustness of the scheduling and resources estimation for this project? </t>
  </si>
  <si>
    <t xml:space="preserve">Consider aspects such as: is the definition of the project clear? the experience of whom estimate the work? Are any assumptions documented? Are the estimation based on a project work breakdown structure with a low level of detail? </t>
  </si>
  <si>
    <t>None</t>
  </si>
  <si>
    <t>Low</t>
  </si>
  <si>
    <t>Medium</t>
  </si>
  <si>
    <t>High</t>
  </si>
  <si>
    <t>Very High</t>
  </si>
  <si>
    <t xml:space="preserve">How would you describe the effectiveness/completeness of the risks assessment strategy? </t>
  </si>
  <si>
    <t>Consider aspect such as: Does the project follows a risk assessment framework/template? The frequency of risk assessment, and is there any plan for monitoring and reviewing risks?</t>
  </si>
  <si>
    <t>How would you describe the depth/amount of the project planning you have done?</t>
  </si>
  <si>
    <t>Consider aspects such as: Is the scope entirely defined? Are responsibilities detailed? Is the management process identified?</t>
  </si>
  <si>
    <t xml:space="preserve"> How would you rate the process to monitor progress, review performance, and communicate with contractors?</t>
  </si>
  <si>
    <t>How would you rate the management controls for this project?</t>
  </si>
  <si>
    <t>Consider aspects such as: Risk management, change management, performance management. Is there any framework adopted? e.g. ITILv4</t>
  </si>
  <si>
    <t>How would you describe the completeness of the requirement processing solution for this project?</t>
  </si>
  <si>
    <t>Consider aspects such as: is there a requirement management process? Are stakeholders identified? Communication strategy? Is there a system to manage and control requirement change if necessary?</t>
  </si>
  <si>
    <t>How would you rate the range of consideration  and depth of the quality assurance plan?</t>
  </si>
  <si>
    <t>Consider aspects such as: Quality planning, Quality assurance and Quality Control.</t>
  </si>
  <si>
    <t>Technology-related</t>
  </si>
  <si>
    <t>How would you rate the teams level of experience with the technology being used to develop the solution?</t>
  </si>
  <si>
    <t>Product-related</t>
  </si>
  <si>
    <t>How would you the depth and detail of the projects list of requirments?</t>
  </si>
  <si>
    <t>How would you rate the effectiveness on quality control process in place?</t>
  </si>
  <si>
    <t xml:space="preserve">Consider aspects such as: Methodology used to develop the product such as design thinking. The extend of the quality assurance plan, functional and usability testing. </t>
  </si>
  <si>
    <t>How would you rate the quality of the projects strategy of stopping scope creep?</t>
  </si>
  <si>
    <t>How would you rate the quality of the contingency plan set for the project if risks occur?</t>
  </si>
  <si>
    <t>Instructions</t>
  </si>
  <si>
    <t>How high would you rate the likelihood of the project not shifting to a different technology during development in somehting went wrong?</t>
  </si>
  <si>
    <t>How would you rate the level of testing the tool has gone through to show that it will be effective in your solution?</t>
  </si>
  <si>
    <t>How would you rate the level to which the tool being used has been custom build for the purpose the team will use it for during development?</t>
  </si>
  <si>
    <t>The strategic discovery, combined with thematic analysis of qualitative data helped:</t>
  </si>
  <si>
    <r>
      <t>·</t>
    </r>
    <r>
      <rPr>
        <sz val="7"/>
        <color theme="1"/>
        <rFont val="Times New Roman"/>
        <family val="1"/>
      </rPr>
      <t xml:space="preserve">         </t>
    </r>
    <r>
      <rPr>
        <sz val="11"/>
        <color theme="1"/>
        <rFont val="Calibri"/>
        <family val="2"/>
        <scheme val="minor"/>
      </rPr>
      <t>Gather data facts</t>
    </r>
  </si>
  <si>
    <r>
      <t>·</t>
    </r>
    <r>
      <rPr>
        <sz val="7"/>
        <color theme="1"/>
        <rFont val="Times New Roman"/>
        <family val="1"/>
      </rPr>
      <t xml:space="preserve">         </t>
    </r>
    <r>
      <rPr>
        <sz val="11"/>
        <color theme="1"/>
        <rFont val="Calibri"/>
        <family val="2"/>
        <scheme val="minor"/>
      </rPr>
      <t>Identify gaps based on the data facts</t>
    </r>
  </si>
  <si>
    <r>
      <t>·</t>
    </r>
    <r>
      <rPr>
        <sz val="7"/>
        <color theme="1"/>
        <rFont val="Times New Roman"/>
        <family val="1"/>
      </rPr>
      <t xml:space="preserve">         </t>
    </r>
    <r>
      <rPr>
        <sz val="11"/>
        <color theme="1"/>
        <rFont val="Calibri"/>
        <family val="2"/>
        <scheme val="minor"/>
      </rPr>
      <t>Create a solution based on identified gaps</t>
    </r>
  </si>
  <si>
    <t>The analysis of 2 resources on project failures inquiries showed:</t>
  </si>
  <si>
    <r>
      <t>1.</t>
    </r>
    <r>
      <rPr>
        <sz val="7"/>
        <color theme="1"/>
        <rFont val="Times New Roman"/>
        <family val="1"/>
      </rPr>
      <t xml:space="preserve">       </t>
    </r>
    <r>
      <rPr>
        <sz val="11"/>
        <color theme="1"/>
        <rFont val="Calibri"/>
        <family val="2"/>
        <scheme val="minor"/>
      </rPr>
      <t>Process related factors count for 57% of occurrences.</t>
    </r>
  </si>
  <si>
    <r>
      <t>2.</t>
    </r>
    <r>
      <rPr>
        <sz val="7"/>
        <color theme="1"/>
        <rFont val="Times New Roman"/>
        <family val="1"/>
      </rPr>
      <t xml:space="preserve">       </t>
    </r>
    <r>
      <rPr>
        <sz val="11"/>
        <color theme="1"/>
        <rFont val="Calibri"/>
        <family val="2"/>
        <scheme val="minor"/>
      </rPr>
      <t>People related factors count for 40% of occurrences.</t>
    </r>
  </si>
  <si>
    <r>
      <t>3.</t>
    </r>
    <r>
      <rPr>
        <sz val="7"/>
        <color theme="1"/>
        <rFont val="Times New Roman"/>
        <family val="1"/>
      </rPr>
      <t xml:space="preserve">       </t>
    </r>
    <r>
      <rPr>
        <sz val="11"/>
        <color theme="1"/>
        <rFont val="Calibri"/>
        <family val="2"/>
        <scheme val="minor"/>
      </rPr>
      <t>Product and Technology count the lower number of occurrences with respectively 2% and 1%.</t>
    </r>
  </si>
  <si>
    <t>The development of the proposed tool based on data facts collected during the thematic analysis ensures that the proposed solution is relevant to real-world IT projects.</t>
  </si>
  <si>
    <t xml:space="preserve">In this globalised world, post-pandemic, the IT industry is growing fast around the world. This means the number of It projects also increases consistently. </t>
  </si>
  <si>
    <t>Organisations must incorporate appropriate methods to provide successful project outcomes. This means using an appropriate evaluation tool to mitigate the risk of failures. Organisations must acknowledge potential risks and pain points for each project to avoid costly mistakes that may result in project failure.</t>
  </si>
  <si>
    <t>3. View the breakdown of your projects possible problem areas in the Summary table</t>
  </si>
  <si>
    <t>2. Answer the questions for each category to get an overall score</t>
  </si>
  <si>
    <t>4. Read the summary of the research findings.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</si>
</sst>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u/>
      <sz val="12"/>
      <color theme="1"/>
      <name val="Calibri"/>
      <family val="2"/>
      <scheme val="minor"/>
    </font>
    <font>
      <b/>
      <sz val="11"/>
      <color theme="1"/>
      <name val="Calibri"/>
      <family val="2"/>
      <scheme val="minor"/>
    </font>
    <font>
      <i/>
      <sz val="11"/>
      <color theme="1"/>
      <name val="Calibri"/>
      <family val="2"/>
      <scheme val="minor"/>
    </font>
    <font>
      <b/>
      <sz val="12"/>
      <color theme="1"/>
      <name val="Calibri"/>
      <family val="2"/>
      <scheme val="minor"/>
    </font>
    <font>
      <sz val="11"/>
      <color rgb="FFFF0000"/>
      <name val="Calibri"/>
      <family val="2"/>
      <scheme val="minor"/>
    </font>
    <font>
      <sz val="11"/>
      <color rgb="FF000000"/>
      <name val="Calibri"/>
      <family val="2"/>
      <scheme val="minor"/>
    </font>
    <font>
      <b/>
      <sz val="11"/>
      <color rgb="FF000000"/>
      <name val="Calibri"/>
      <family val="2"/>
      <scheme val="minor"/>
    </font>
    <font>
      <i/>
      <sz val="11"/>
      <color rgb="FF000000"/>
      <name val="Calibri"/>
      <family val="2"/>
      <scheme val="minor"/>
    </font>
    <font>
      <sz val="11"/>
      <color rgb="FF000000"/>
      <name val="Calibri"/>
      <family val="2"/>
    </font>
    <font>
      <b/>
      <sz val="14"/>
      <color rgb="FF000000"/>
      <name val="Calibri"/>
      <family val="2"/>
    </font>
    <font>
      <b/>
      <sz val="14"/>
      <color rgb="FFC65911"/>
      <name val="Calibri"/>
      <family val="2"/>
    </font>
    <font>
      <b/>
      <sz val="11"/>
      <color rgb="FF000000"/>
      <name val="Calibri"/>
      <family val="2"/>
    </font>
    <font>
      <sz val="11"/>
      <color rgb="FF000000"/>
      <name val="Calibri"/>
      <family val="2"/>
    </font>
    <font>
      <sz val="11"/>
      <color rgb="FF444444"/>
      <name val="Calibri"/>
      <family val="2"/>
      <charset val="1"/>
    </font>
    <font>
      <sz val="11"/>
      <color theme="1"/>
      <name val="Calibri"/>
      <family val="2"/>
      <scheme val="minor"/>
    </font>
    <font>
      <sz val="11"/>
      <color theme="0"/>
      <name val="Calibri"/>
      <family val="2"/>
      <scheme val="minor"/>
    </font>
    <font>
      <sz val="11"/>
      <name val="Calibri"/>
      <family val="2"/>
      <scheme val="minor"/>
    </font>
    <font>
      <sz val="8"/>
      <name val="Calibri"/>
      <family val="2"/>
      <scheme val="minor"/>
    </font>
    <font>
      <b/>
      <sz val="11"/>
      <color theme="0"/>
      <name val="Calibri"/>
      <family val="2"/>
      <scheme val="minor"/>
    </font>
    <font>
      <sz val="14"/>
      <color theme="1"/>
      <name val="Calibri"/>
      <family val="2"/>
      <scheme val="minor"/>
    </font>
    <font>
      <sz val="20"/>
      <color theme="1"/>
      <name val="Arial Black"/>
      <family val="2"/>
    </font>
    <font>
      <u/>
      <sz val="12"/>
      <color theme="0"/>
      <name val="Calibri"/>
      <family val="2"/>
      <scheme val="minor"/>
    </font>
    <font>
      <sz val="20"/>
      <color theme="1"/>
      <name val="Calibri"/>
      <family val="2"/>
      <scheme val="minor"/>
    </font>
    <font>
      <sz val="20"/>
      <color rgb="FF000000"/>
      <name val="Calibri"/>
      <family val="2"/>
      <scheme val="minor"/>
    </font>
    <font>
      <sz val="11"/>
      <color theme="1"/>
      <name val="Symbol"/>
      <family val="1"/>
      <charset val="2"/>
    </font>
    <font>
      <sz val="7"/>
      <color theme="1"/>
      <name val="Times New Roman"/>
      <family val="1"/>
    </font>
  </fonts>
  <fills count="8">
    <fill>
      <patternFill patternType="none"/>
    </fill>
    <fill>
      <patternFill patternType="gray125"/>
    </fill>
    <fill>
      <patternFill patternType="solid">
        <fgColor theme="7" tint="0.59999389629810485"/>
        <bgColor indexed="64"/>
      </patternFill>
    </fill>
    <fill>
      <patternFill patternType="solid">
        <fgColor rgb="FFFFE699"/>
        <bgColor rgb="FF000000"/>
      </patternFill>
    </fill>
    <fill>
      <patternFill patternType="solid">
        <fgColor theme="4" tint="-0.249977111117893"/>
        <bgColor indexed="64"/>
      </patternFill>
    </fill>
    <fill>
      <patternFill patternType="solid">
        <fgColor theme="4" tint="0.39997558519241921"/>
        <bgColor indexed="64"/>
      </patternFill>
    </fill>
    <fill>
      <patternFill patternType="solid">
        <fgColor theme="0"/>
        <bgColor indexed="64"/>
      </patternFill>
    </fill>
    <fill>
      <patternFill patternType="solid">
        <fgColor theme="4" tint="0.79998168889431442"/>
        <bgColor indexed="64"/>
      </patternFill>
    </fill>
  </fills>
  <borders count="7">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9" fontId="15" fillId="0" borderId="0" applyFont="0" applyFill="0" applyBorder="0" applyAlignment="0" applyProtection="0"/>
  </cellStyleXfs>
  <cellXfs count="50">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xf numFmtId="0" fontId="7" fillId="0" borderId="0" xfId="0" applyFont="1"/>
    <xf numFmtId="0" fontId="2" fillId="2" borderId="0" xfId="0" applyFont="1" applyFill="1" applyAlignment="1">
      <alignment vertical="top" wrapText="1"/>
    </xf>
    <xf numFmtId="0" fontId="0" fillId="0" borderId="0" xfId="0" applyAlignment="1">
      <alignment wrapText="1"/>
    </xf>
    <xf numFmtId="0" fontId="9" fillId="0" borderId="0" xfId="0" applyFont="1"/>
    <xf numFmtId="0" fontId="10" fillId="0" borderId="0" xfId="0" applyFont="1"/>
    <xf numFmtId="0" fontId="11" fillId="0" borderId="0" xfId="0" applyFont="1"/>
    <xf numFmtId="0" fontId="9" fillId="0" borderId="1" xfId="0" applyFont="1" applyBorder="1"/>
    <xf numFmtId="0" fontId="9" fillId="0" borderId="2" xfId="0" applyFont="1" applyBorder="1"/>
    <xf numFmtId="0" fontId="12" fillId="0" borderId="0" xfId="0" applyFont="1"/>
    <xf numFmtId="0" fontId="12" fillId="3" borderId="0" xfId="0" applyFont="1" applyFill="1" applyAlignment="1">
      <alignment wrapText="1"/>
    </xf>
    <xf numFmtId="0" fontId="9" fillId="0" borderId="0" xfId="0" applyFont="1" applyAlignment="1">
      <alignment wrapText="1"/>
    </xf>
    <xf numFmtId="0" fontId="13" fillId="0" borderId="0" xfId="0" applyFont="1" applyAlignment="1">
      <alignment wrapText="1"/>
    </xf>
    <xf numFmtId="0" fontId="14" fillId="0" borderId="0" xfId="0" applyFont="1"/>
    <xf numFmtId="0" fontId="8" fillId="0" borderId="0" xfId="0" applyFont="1"/>
    <xf numFmtId="0" fontId="16" fillId="4" borderId="3" xfId="0" applyFont="1" applyFill="1" applyBorder="1"/>
    <xf numFmtId="0" fontId="16" fillId="4" borderId="3" xfId="0" applyFont="1" applyFill="1" applyBorder="1" applyAlignment="1">
      <alignment horizontal="center" vertical="center"/>
    </xf>
    <xf numFmtId="0" fontId="0" fillId="0" borderId="3" xfId="0" applyBorder="1"/>
    <xf numFmtId="0" fontId="17" fillId="5" borderId="3" xfId="0" applyFont="1" applyFill="1" applyBorder="1"/>
    <xf numFmtId="9" fontId="0" fillId="0" borderId="3" xfId="1" applyFont="1" applyBorder="1"/>
    <xf numFmtId="0" fontId="0" fillId="6" borderId="3" xfId="0" applyFill="1" applyBorder="1"/>
    <xf numFmtId="9" fontId="0" fillId="6" borderId="3" xfId="1" applyFont="1" applyFill="1" applyBorder="1"/>
    <xf numFmtId="0" fontId="0" fillId="7" borderId="3" xfId="0" applyFill="1" applyBorder="1" applyAlignment="1">
      <alignment horizontal="right"/>
    </xf>
    <xf numFmtId="0" fontId="0" fillId="7" borderId="3" xfId="0" applyFill="1" applyBorder="1"/>
    <xf numFmtId="0" fontId="17" fillId="0" borderId="0" xfId="0" applyFont="1"/>
    <xf numFmtId="0" fontId="21" fillId="0" borderId="0" xfId="0" applyFont="1"/>
    <xf numFmtId="0" fontId="20" fillId="0" borderId="0" xfId="0" applyFont="1"/>
    <xf numFmtId="0" fontId="0" fillId="0" borderId="3" xfId="0" applyBorder="1" applyAlignment="1">
      <alignment horizontal="center"/>
    </xf>
    <xf numFmtId="9" fontId="0" fillId="0" borderId="3" xfId="1" applyFont="1" applyFill="1" applyBorder="1" applyAlignment="1">
      <alignment horizontal="center"/>
    </xf>
    <xf numFmtId="9" fontId="0" fillId="0" borderId="3" xfId="1" applyFont="1" applyBorder="1" applyAlignment="1">
      <alignment horizontal="center"/>
    </xf>
    <xf numFmtId="2" fontId="0" fillId="0" borderId="3" xfId="1" applyNumberFormat="1" applyFont="1" applyBorder="1"/>
    <xf numFmtId="0" fontId="0" fillId="0" borderId="3" xfId="0" applyBorder="1" applyAlignment="1">
      <alignment horizontal="center" vertical="center"/>
    </xf>
    <xf numFmtId="0" fontId="4" fillId="5" borderId="3" xfId="0" applyFont="1" applyFill="1" applyBorder="1"/>
    <xf numFmtId="0" fontId="22" fillId="4" borderId="3" xfId="0" applyFont="1" applyFill="1" applyBorder="1"/>
    <xf numFmtId="0" fontId="19" fillId="4" borderId="3" xfId="0" applyFont="1" applyFill="1" applyBorder="1" applyAlignment="1">
      <alignment horizontal="center"/>
    </xf>
    <xf numFmtId="0" fontId="23" fillId="0" borderId="0" xfId="0" applyFont="1"/>
    <xf numFmtId="0" fontId="24" fillId="0" borderId="0" xfId="0" applyFont="1"/>
    <xf numFmtId="0" fontId="0" fillId="0" borderId="0" xfId="0" applyAlignment="1">
      <alignment vertical="center"/>
    </xf>
    <xf numFmtId="0" fontId="25" fillId="0" borderId="0" xfId="0" applyFont="1" applyAlignment="1">
      <alignment horizontal="left" vertical="center" indent="5"/>
    </xf>
    <xf numFmtId="0" fontId="0" fillId="0" borderId="0" xfId="0" applyAlignment="1">
      <alignment horizontal="left" vertical="center" indent="5"/>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3" xfId="0" applyFill="1" applyBorder="1" applyAlignment="1">
      <alignment horizontal="center" vertic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People</a:t>
            </a:r>
            <a:r>
              <a:rPr lang="en-US" baseline="0"/>
              <a:t> Themes Occurence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'[1]Analysis sheet'!$F$1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'[1]Analysis sheet'!$C$2:$C$9</c:f>
              <c:strCache>
                <c:ptCount val="8"/>
                <c:pt idx="0">
                  <c:v>Undermined Motivation</c:v>
                </c:pt>
                <c:pt idx="1">
                  <c:v>Ineffective stakeholder management</c:v>
                </c:pt>
                <c:pt idx="2">
                  <c:v>Individual capabilities</c:v>
                </c:pt>
                <c:pt idx="3">
                  <c:v>Ineffective Leadership</c:v>
                </c:pt>
                <c:pt idx="4">
                  <c:v>Team lack of experience</c:v>
                </c:pt>
                <c:pt idx="5">
                  <c:v>Poor management decisions</c:v>
                </c:pt>
                <c:pt idx="6">
                  <c:v>Insufficient communication</c:v>
                </c:pt>
                <c:pt idx="7">
                  <c:v>Lack of accountability</c:v>
                </c:pt>
              </c:strCache>
            </c:strRef>
          </c:cat>
          <c:val>
            <c:numRef>
              <c:f>'[1]Analysis sheet'!$F$2:$F$9</c:f>
              <c:numCache>
                <c:formatCode>General</c:formatCode>
                <c:ptCount val="8"/>
                <c:pt idx="0">
                  <c:v>5</c:v>
                </c:pt>
                <c:pt idx="1">
                  <c:v>20</c:v>
                </c:pt>
                <c:pt idx="2">
                  <c:v>6</c:v>
                </c:pt>
                <c:pt idx="3">
                  <c:v>16</c:v>
                </c:pt>
                <c:pt idx="4">
                  <c:v>7</c:v>
                </c:pt>
                <c:pt idx="5">
                  <c:v>29</c:v>
                </c:pt>
                <c:pt idx="6">
                  <c:v>32</c:v>
                </c:pt>
                <c:pt idx="7">
                  <c:v>8</c:v>
                </c:pt>
              </c:numCache>
            </c:numRef>
          </c:val>
          <c:extLst>
            <c:ext xmlns:c16="http://schemas.microsoft.com/office/drawing/2014/chart" uri="{C3380CC4-5D6E-409C-BE32-E72D297353CC}">
              <c16:uniqueId val="{00000000-EFA9-4537-A8B8-1E0A46631AF8}"/>
            </c:ext>
          </c:extLst>
        </c:ser>
        <c:dLbls>
          <c:dLblPos val="outEnd"/>
          <c:showLegendKey val="0"/>
          <c:showVal val="1"/>
          <c:showCatName val="0"/>
          <c:showSerName val="0"/>
          <c:showPercent val="0"/>
          <c:showBubbleSize val="0"/>
        </c:dLbls>
        <c:gapWidth val="182"/>
        <c:axId val="1460653551"/>
        <c:axId val="1460651471"/>
      </c:barChart>
      <c:catAx>
        <c:axId val="146065355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sz="1200"/>
                  <a:t>Theme/Factors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0651471"/>
        <c:crosses val="autoZero"/>
        <c:auto val="1"/>
        <c:lblAlgn val="ctr"/>
        <c:lblOffset val="100"/>
        <c:noMultiLvlLbl val="0"/>
      </c:catAx>
      <c:valAx>
        <c:axId val="1460651471"/>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sz="1200"/>
                  <a:t>Number of occurence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crossAx val="1460653551"/>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Process Themes Occurence </a:t>
            </a:r>
            <a:endParaRPr lang="en-NZ">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'[1]Analysis sheet'!$C$11:$C$17</c:f>
              <c:strCache>
                <c:ptCount val="7"/>
                <c:pt idx="0">
                  <c:v>Poor estimation and/or Scheduling</c:v>
                </c:pt>
                <c:pt idx="1">
                  <c:v>Insufficient risk management</c:v>
                </c:pt>
                <c:pt idx="2">
                  <c:v>Insufficient Planning</c:v>
                </c:pt>
                <c:pt idx="3">
                  <c:v>Short-changed quality assurance</c:v>
                </c:pt>
                <c:pt idx="4">
                  <c:v>Poor requirements determination</c:v>
                </c:pt>
                <c:pt idx="5">
                  <c:v>Contractor failure</c:v>
                </c:pt>
                <c:pt idx="6">
                  <c:v>Insufficient management controls</c:v>
                </c:pt>
              </c:strCache>
            </c:strRef>
          </c:cat>
          <c:val>
            <c:numRef>
              <c:f>'[1]Analysis sheet'!$F$11:$F$17</c:f>
              <c:numCache>
                <c:formatCode>General</c:formatCode>
                <c:ptCount val="7"/>
                <c:pt idx="0">
                  <c:v>11</c:v>
                </c:pt>
                <c:pt idx="1">
                  <c:v>20</c:v>
                </c:pt>
                <c:pt idx="2">
                  <c:v>66</c:v>
                </c:pt>
                <c:pt idx="3">
                  <c:v>3</c:v>
                </c:pt>
                <c:pt idx="4">
                  <c:v>22</c:v>
                </c:pt>
                <c:pt idx="5">
                  <c:v>7</c:v>
                </c:pt>
                <c:pt idx="6">
                  <c:v>46</c:v>
                </c:pt>
              </c:numCache>
            </c:numRef>
          </c:val>
          <c:extLst>
            <c:ext xmlns:c16="http://schemas.microsoft.com/office/drawing/2014/chart" uri="{C3380CC4-5D6E-409C-BE32-E72D297353CC}">
              <c16:uniqueId val="{00000000-E17F-4190-8237-33217FDF30BB}"/>
            </c:ext>
          </c:extLst>
        </c:ser>
        <c:dLbls>
          <c:dLblPos val="outEnd"/>
          <c:showLegendKey val="0"/>
          <c:showVal val="1"/>
          <c:showCatName val="0"/>
          <c:showSerName val="0"/>
          <c:showPercent val="0"/>
          <c:showBubbleSize val="0"/>
        </c:dLbls>
        <c:gapWidth val="182"/>
        <c:axId val="1469560351"/>
        <c:axId val="1469554527"/>
      </c:barChart>
      <c:catAx>
        <c:axId val="146956035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sz="1200" b="0" i="0" baseline="0">
                    <a:effectLst/>
                  </a:rPr>
                  <a:t>Theme/Factors</a:t>
                </a:r>
                <a:endParaRPr lang="en-NZ" sz="12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9554527"/>
        <c:crosses val="autoZero"/>
        <c:auto val="1"/>
        <c:lblAlgn val="ctr"/>
        <c:lblOffset val="100"/>
        <c:noMultiLvlLbl val="0"/>
      </c:catAx>
      <c:valAx>
        <c:axId val="1469554527"/>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sz="1200" b="0" i="0" baseline="0">
                    <a:effectLst/>
                  </a:rPr>
                  <a:t>Number of occurence</a:t>
                </a:r>
                <a:endParaRPr lang="en-NZ" sz="1200">
                  <a:effectLst/>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14695603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NZ"/>
              <a:t>Group Of Factors </a:t>
            </a:r>
            <a:r>
              <a:rPr lang="en-NZ" sz="1400" b="0" i="0" u="none" strike="noStrike" baseline="0">
                <a:effectLst/>
              </a:rPr>
              <a:t>Percentage</a:t>
            </a:r>
            <a:r>
              <a:rPr lang="en-NZ"/>
              <a:t> Occurence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3068961067366579"/>
          <c:y val="0.17171296296296298"/>
          <c:w val="0.40287467191601051"/>
          <c:h val="0.6714577865266842"/>
        </c:manualLayout>
      </c:layout>
      <c:pieChart>
        <c:varyColors val="1"/>
        <c:ser>
          <c:idx val="0"/>
          <c:order val="0"/>
          <c:tx>
            <c:strRef>
              <c:f>'[1]Analysis sheet'!$L$1</c:f>
              <c:strCache>
                <c:ptCount val="1"/>
                <c:pt idx="0">
                  <c:v>Percent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C0-456E-9A50-A4BCF610117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C0-456E-9A50-A4BCF610117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C0-456E-9A50-A4BCF610117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C0-456E-9A50-A4BCF610117E}"/>
              </c:ext>
            </c:extLst>
          </c:dPt>
          <c:dLbls>
            <c:dLbl>
              <c:idx val="0"/>
              <c:layout>
                <c:manualLayout>
                  <c:x val="-0.11363238853319407"/>
                  <c:y val="4.889230951005618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3C0-456E-9A50-A4BCF610117E}"/>
                </c:ext>
              </c:extLst>
            </c:dLbl>
            <c:dLbl>
              <c:idx val="1"/>
              <c:layout>
                <c:manualLayout>
                  <c:x val="0.12596771430138501"/>
                  <c:y val="-6.3293926902273798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3C0-456E-9A50-A4BCF610117E}"/>
                </c:ext>
              </c:extLst>
            </c:dLbl>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'[1]Analysis sheet'!$J$2:$J$5</c:f>
              <c:strCache>
                <c:ptCount val="4"/>
                <c:pt idx="0">
                  <c:v>People</c:v>
                </c:pt>
                <c:pt idx="1">
                  <c:v>Process</c:v>
                </c:pt>
                <c:pt idx="2">
                  <c:v>Technology</c:v>
                </c:pt>
                <c:pt idx="3">
                  <c:v>Product</c:v>
                </c:pt>
              </c:strCache>
            </c:strRef>
          </c:cat>
          <c:val>
            <c:numRef>
              <c:f>'[1]Analysis sheet'!$L$2:$L$5</c:f>
              <c:numCache>
                <c:formatCode>General</c:formatCode>
                <c:ptCount val="4"/>
                <c:pt idx="0">
                  <c:v>0.40065146579804561</c:v>
                </c:pt>
                <c:pt idx="1">
                  <c:v>0.57003257328990231</c:v>
                </c:pt>
                <c:pt idx="2">
                  <c:v>1.3029315960912053E-2</c:v>
                </c:pt>
                <c:pt idx="3">
                  <c:v>1.6286644951140065E-2</c:v>
                </c:pt>
              </c:numCache>
            </c:numRef>
          </c:val>
          <c:extLst>
            <c:ext xmlns:c16="http://schemas.microsoft.com/office/drawing/2014/chart" uri="{C3380CC4-5D6E-409C-BE32-E72D297353CC}">
              <c16:uniqueId val="{00000008-13C0-456E-9A50-A4BCF610117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0</xdr:colOff>
          <xdr:row>11</xdr:row>
          <xdr:rowOff>28575</xdr:rowOff>
        </xdr:to>
        <xdr:sp macro="" textlink="">
          <xdr:nvSpPr>
            <xdr:cNvPr id="1068" name="Button1" hidden="1">
              <a:extLst>
                <a:ext uri="{63B3BB69-23CF-44E3-9099-C40C66FF867C}">
                  <a14:compatExt spid="_x0000_s1068"/>
                </a:ext>
                <a:ext uri="{FF2B5EF4-FFF2-40B4-BE49-F238E27FC236}">
                  <a16:creationId xmlns:a16="http://schemas.microsoft.com/office/drawing/2014/main" id="{00000000-0008-0000-02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9</xdr:row>
          <xdr:rowOff>171450</xdr:rowOff>
        </xdr:from>
        <xdr:to>
          <xdr:col>3</xdr:col>
          <xdr:colOff>47625</xdr:colOff>
          <xdr:row>11</xdr:row>
          <xdr:rowOff>28575</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200-00002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9</xdr:row>
          <xdr:rowOff>171450</xdr:rowOff>
        </xdr:from>
        <xdr:to>
          <xdr:col>4</xdr:col>
          <xdr:colOff>0</xdr:colOff>
          <xdr:row>11</xdr:row>
          <xdr:rowOff>19050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200-00002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171450</xdr:rowOff>
        </xdr:from>
        <xdr:to>
          <xdr:col>4</xdr:col>
          <xdr:colOff>600075</xdr:colOff>
          <xdr:row>11</xdr:row>
          <xdr:rowOff>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600075</xdr:colOff>
          <xdr:row>9</xdr:row>
          <xdr:rowOff>161925</xdr:rowOff>
        </xdr:from>
        <xdr:to>
          <xdr:col>6</xdr:col>
          <xdr:colOff>171450</xdr:colOff>
          <xdr:row>11</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11</xdr:row>
          <xdr:rowOff>161925</xdr:rowOff>
        </xdr:from>
        <xdr:to>
          <xdr:col>3</xdr:col>
          <xdr:colOff>28575</xdr:colOff>
          <xdr:row>13</xdr:row>
          <xdr:rowOff>28575</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2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171450</xdr:rowOff>
        </xdr:from>
        <xdr:to>
          <xdr:col>4</xdr:col>
          <xdr:colOff>0</xdr:colOff>
          <xdr:row>13</xdr:row>
          <xdr:rowOff>28575</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200-00003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11</xdr:row>
          <xdr:rowOff>180975</xdr:rowOff>
        </xdr:from>
        <xdr:to>
          <xdr:col>5</xdr:col>
          <xdr:colOff>57150</xdr:colOff>
          <xdr:row>13</xdr:row>
          <xdr:rowOff>38100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200-00003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11</xdr:row>
          <xdr:rowOff>171450</xdr:rowOff>
        </xdr:from>
        <xdr:to>
          <xdr:col>6</xdr:col>
          <xdr:colOff>200025</xdr:colOff>
          <xdr:row>13</xdr:row>
          <xdr:rowOff>19050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200-00003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885825</xdr:colOff>
          <xdr:row>13</xdr:row>
          <xdr:rowOff>180975</xdr:rowOff>
        </xdr:from>
        <xdr:to>
          <xdr:col>1</xdr:col>
          <xdr:colOff>600075</xdr:colOff>
          <xdr:row>15</xdr:row>
          <xdr:rowOff>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2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13</xdr:row>
          <xdr:rowOff>180975</xdr:rowOff>
        </xdr:from>
        <xdr:to>
          <xdr:col>3</xdr:col>
          <xdr:colOff>9525</xdr:colOff>
          <xdr:row>15</xdr:row>
          <xdr:rowOff>9525</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2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13</xdr:row>
          <xdr:rowOff>180975</xdr:rowOff>
        </xdr:from>
        <xdr:to>
          <xdr:col>4</xdr:col>
          <xdr:colOff>0</xdr:colOff>
          <xdr:row>15</xdr:row>
          <xdr:rowOff>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2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13</xdr:row>
          <xdr:rowOff>180975</xdr:rowOff>
        </xdr:from>
        <xdr:to>
          <xdr:col>5</xdr:col>
          <xdr:colOff>38100</xdr:colOff>
          <xdr:row>15</xdr:row>
          <xdr:rowOff>9525</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2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13</xdr:row>
          <xdr:rowOff>180975</xdr:rowOff>
        </xdr:from>
        <xdr:to>
          <xdr:col>6</xdr:col>
          <xdr:colOff>200025</xdr:colOff>
          <xdr:row>14</xdr:row>
          <xdr:rowOff>180975</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2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0</xdr:rowOff>
        </xdr:from>
        <xdr:to>
          <xdr:col>3</xdr:col>
          <xdr:colOff>9525</xdr:colOff>
          <xdr:row>17</xdr:row>
          <xdr:rowOff>28575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180975</xdr:rowOff>
        </xdr:from>
        <xdr:to>
          <xdr:col>4</xdr:col>
          <xdr:colOff>0</xdr:colOff>
          <xdr:row>17</xdr:row>
          <xdr:rowOff>28575</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2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0</xdr:rowOff>
        </xdr:from>
        <xdr:to>
          <xdr:col>5</xdr:col>
          <xdr:colOff>28575</xdr:colOff>
          <xdr:row>17</xdr:row>
          <xdr:rowOff>28575</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2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15</xdr:row>
          <xdr:rowOff>180975</xdr:rowOff>
        </xdr:from>
        <xdr:to>
          <xdr:col>6</xdr:col>
          <xdr:colOff>190500</xdr:colOff>
          <xdr:row>17</xdr:row>
          <xdr:rowOff>28575</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2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866775</xdr:colOff>
          <xdr:row>27</xdr:row>
          <xdr:rowOff>0</xdr:rowOff>
        </xdr:from>
        <xdr:to>
          <xdr:col>1</xdr:col>
          <xdr:colOff>590550</xdr:colOff>
          <xdr:row>28</xdr:row>
          <xdr:rowOff>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2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171450</xdr:rowOff>
        </xdr:from>
        <xdr:to>
          <xdr:col>3</xdr:col>
          <xdr:colOff>0</xdr:colOff>
          <xdr:row>28</xdr:row>
          <xdr:rowOff>9525</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2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26</xdr:row>
          <xdr:rowOff>161925</xdr:rowOff>
        </xdr:from>
        <xdr:to>
          <xdr:col>3</xdr:col>
          <xdr:colOff>619125</xdr:colOff>
          <xdr:row>28</xdr:row>
          <xdr:rowOff>9525</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2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180975</xdr:rowOff>
        </xdr:from>
        <xdr:to>
          <xdr:col>5</xdr:col>
          <xdr:colOff>0</xdr:colOff>
          <xdr:row>28</xdr:row>
          <xdr:rowOff>19050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2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26</xdr:row>
          <xdr:rowOff>171450</xdr:rowOff>
        </xdr:from>
        <xdr:to>
          <xdr:col>6</xdr:col>
          <xdr:colOff>161925</xdr:colOff>
          <xdr:row>28</xdr:row>
          <xdr:rowOff>19050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2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866775</xdr:colOff>
          <xdr:row>30</xdr:row>
          <xdr:rowOff>0</xdr:rowOff>
        </xdr:from>
        <xdr:to>
          <xdr:col>1</xdr:col>
          <xdr:colOff>590550</xdr:colOff>
          <xdr:row>31</xdr:row>
          <xdr:rowOff>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2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171450</xdr:rowOff>
        </xdr:from>
        <xdr:to>
          <xdr:col>3</xdr:col>
          <xdr:colOff>0</xdr:colOff>
          <xdr:row>31</xdr:row>
          <xdr:rowOff>9525</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2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29</xdr:row>
          <xdr:rowOff>161925</xdr:rowOff>
        </xdr:from>
        <xdr:to>
          <xdr:col>3</xdr:col>
          <xdr:colOff>619125</xdr:colOff>
          <xdr:row>31</xdr:row>
          <xdr:rowOff>9525</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2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180975</xdr:rowOff>
        </xdr:from>
        <xdr:to>
          <xdr:col>5</xdr:col>
          <xdr:colOff>0</xdr:colOff>
          <xdr:row>31</xdr:row>
          <xdr:rowOff>19050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2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29</xdr:row>
          <xdr:rowOff>171450</xdr:rowOff>
        </xdr:from>
        <xdr:to>
          <xdr:col>6</xdr:col>
          <xdr:colOff>161925</xdr:colOff>
          <xdr:row>31</xdr:row>
          <xdr:rowOff>19050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2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876300</xdr:colOff>
          <xdr:row>33</xdr:row>
          <xdr:rowOff>9525</xdr:rowOff>
        </xdr:from>
        <xdr:to>
          <xdr:col>1</xdr:col>
          <xdr:colOff>600075</xdr:colOff>
          <xdr:row>34</xdr:row>
          <xdr:rowOff>9525</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2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32</xdr:row>
          <xdr:rowOff>180975</xdr:rowOff>
        </xdr:from>
        <xdr:to>
          <xdr:col>3</xdr:col>
          <xdr:colOff>9525</xdr:colOff>
          <xdr:row>34</xdr:row>
          <xdr:rowOff>19050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2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32</xdr:row>
          <xdr:rowOff>171450</xdr:rowOff>
        </xdr:from>
        <xdr:to>
          <xdr:col>4</xdr:col>
          <xdr:colOff>0</xdr:colOff>
          <xdr:row>34</xdr:row>
          <xdr:rowOff>19050</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2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33</xdr:row>
          <xdr:rowOff>0</xdr:rowOff>
        </xdr:from>
        <xdr:to>
          <xdr:col>5</xdr:col>
          <xdr:colOff>9525</xdr:colOff>
          <xdr:row>34</xdr:row>
          <xdr:rowOff>28575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2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32</xdr:row>
          <xdr:rowOff>180975</xdr:rowOff>
        </xdr:from>
        <xdr:to>
          <xdr:col>6</xdr:col>
          <xdr:colOff>171450</xdr:colOff>
          <xdr:row>34</xdr:row>
          <xdr:rowOff>28575</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2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35</xdr:row>
          <xdr:rowOff>0</xdr:rowOff>
        </xdr:from>
        <xdr:to>
          <xdr:col>1</xdr:col>
          <xdr:colOff>571500</xdr:colOff>
          <xdr:row>36</xdr:row>
          <xdr:rowOff>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2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34</xdr:row>
          <xdr:rowOff>171450</xdr:rowOff>
        </xdr:from>
        <xdr:to>
          <xdr:col>2</xdr:col>
          <xdr:colOff>590550</xdr:colOff>
          <xdr:row>36</xdr:row>
          <xdr:rowOff>9525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2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161925</xdr:rowOff>
        </xdr:from>
        <xdr:to>
          <xdr:col>3</xdr:col>
          <xdr:colOff>600075</xdr:colOff>
          <xdr:row>36</xdr:row>
          <xdr:rowOff>9525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2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34</xdr:row>
          <xdr:rowOff>180975</xdr:rowOff>
        </xdr:from>
        <xdr:to>
          <xdr:col>4</xdr:col>
          <xdr:colOff>590550</xdr:colOff>
          <xdr:row>36</xdr:row>
          <xdr:rowOff>19050</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2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609600</xdr:colOff>
          <xdr:row>34</xdr:row>
          <xdr:rowOff>171450</xdr:rowOff>
        </xdr:from>
        <xdr:to>
          <xdr:col>6</xdr:col>
          <xdr:colOff>142875</xdr:colOff>
          <xdr:row>36</xdr:row>
          <xdr:rowOff>19050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2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857250</xdr:colOff>
          <xdr:row>38</xdr:row>
          <xdr:rowOff>0</xdr:rowOff>
        </xdr:from>
        <xdr:to>
          <xdr:col>1</xdr:col>
          <xdr:colOff>581025</xdr:colOff>
          <xdr:row>39</xdr:row>
          <xdr:rowOff>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2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37</xdr:row>
          <xdr:rowOff>171450</xdr:rowOff>
        </xdr:from>
        <xdr:to>
          <xdr:col>2</xdr:col>
          <xdr:colOff>600075</xdr:colOff>
          <xdr:row>39</xdr:row>
          <xdr:rowOff>9525</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2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37</xdr:row>
          <xdr:rowOff>161925</xdr:rowOff>
        </xdr:from>
        <xdr:to>
          <xdr:col>3</xdr:col>
          <xdr:colOff>609600</xdr:colOff>
          <xdr:row>39</xdr:row>
          <xdr:rowOff>9525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2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37</xdr:row>
          <xdr:rowOff>180975</xdr:rowOff>
        </xdr:from>
        <xdr:to>
          <xdr:col>4</xdr:col>
          <xdr:colOff>600075</xdr:colOff>
          <xdr:row>39</xdr:row>
          <xdr:rowOff>19050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2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37</xdr:row>
          <xdr:rowOff>171450</xdr:rowOff>
        </xdr:from>
        <xdr:to>
          <xdr:col>6</xdr:col>
          <xdr:colOff>152400</xdr:colOff>
          <xdr:row>39</xdr:row>
          <xdr:rowOff>19050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2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876300</xdr:colOff>
          <xdr:row>40</xdr:row>
          <xdr:rowOff>180975</xdr:rowOff>
        </xdr:from>
        <xdr:to>
          <xdr:col>1</xdr:col>
          <xdr:colOff>600075</xdr:colOff>
          <xdr:row>42</xdr:row>
          <xdr:rowOff>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2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40</xdr:row>
          <xdr:rowOff>161925</xdr:rowOff>
        </xdr:from>
        <xdr:to>
          <xdr:col>3</xdr:col>
          <xdr:colOff>9525</xdr:colOff>
          <xdr:row>42</xdr:row>
          <xdr:rowOff>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2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40</xdr:row>
          <xdr:rowOff>152400</xdr:rowOff>
        </xdr:from>
        <xdr:to>
          <xdr:col>4</xdr:col>
          <xdr:colOff>0</xdr:colOff>
          <xdr:row>42</xdr:row>
          <xdr:rowOff>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2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40</xdr:row>
          <xdr:rowOff>171450</xdr:rowOff>
        </xdr:from>
        <xdr:to>
          <xdr:col>5</xdr:col>
          <xdr:colOff>9525</xdr:colOff>
          <xdr:row>42</xdr:row>
          <xdr:rowOff>9525</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2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40</xdr:row>
          <xdr:rowOff>161925</xdr:rowOff>
        </xdr:from>
        <xdr:to>
          <xdr:col>6</xdr:col>
          <xdr:colOff>171450</xdr:colOff>
          <xdr:row>42</xdr:row>
          <xdr:rowOff>9525</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2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838200</xdr:colOff>
          <xdr:row>43</xdr:row>
          <xdr:rowOff>180975</xdr:rowOff>
        </xdr:from>
        <xdr:to>
          <xdr:col>1</xdr:col>
          <xdr:colOff>561975</xdr:colOff>
          <xdr:row>45</xdr:row>
          <xdr:rowOff>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2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43</xdr:row>
          <xdr:rowOff>161925</xdr:rowOff>
        </xdr:from>
        <xdr:to>
          <xdr:col>2</xdr:col>
          <xdr:colOff>581025</xdr:colOff>
          <xdr:row>45</xdr:row>
          <xdr:rowOff>0</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2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43</xdr:row>
          <xdr:rowOff>152400</xdr:rowOff>
        </xdr:from>
        <xdr:to>
          <xdr:col>3</xdr:col>
          <xdr:colOff>590550</xdr:colOff>
          <xdr:row>45</xdr:row>
          <xdr:rowOff>0</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2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43</xdr:row>
          <xdr:rowOff>171450</xdr:rowOff>
        </xdr:from>
        <xdr:to>
          <xdr:col>4</xdr:col>
          <xdr:colOff>581025</xdr:colOff>
          <xdr:row>45</xdr:row>
          <xdr:rowOff>9525</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2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600075</xdr:colOff>
          <xdr:row>43</xdr:row>
          <xdr:rowOff>161925</xdr:rowOff>
        </xdr:from>
        <xdr:to>
          <xdr:col>5</xdr:col>
          <xdr:colOff>600075</xdr:colOff>
          <xdr:row>45</xdr:row>
          <xdr:rowOff>19050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2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48</xdr:row>
          <xdr:rowOff>0</xdr:rowOff>
        </xdr:from>
        <xdr:to>
          <xdr:col>1</xdr:col>
          <xdr:colOff>571500</xdr:colOff>
          <xdr:row>49</xdr:row>
          <xdr:rowOff>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2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47</xdr:row>
          <xdr:rowOff>171450</xdr:rowOff>
        </xdr:from>
        <xdr:to>
          <xdr:col>2</xdr:col>
          <xdr:colOff>590550</xdr:colOff>
          <xdr:row>49</xdr:row>
          <xdr:rowOff>9525</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2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161925</xdr:rowOff>
        </xdr:from>
        <xdr:to>
          <xdr:col>3</xdr:col>
          <xdr:colOff>600075</xdr:colOff>
          <xdr:row>49</xdr:row>
          <xdr:rowOff>9525</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2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47</xdr:row>
          <xdr:rowOff>180975</xdr:rowOff>
        </xdr:from>
        <xdr:to>
          <xdr:col>4</xdr:col>
          <xdr:colOff>590550</xdr:colOff>
          <xdr:row>49</xdr:row>
          <xdr:rowOff>19050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2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609600</xdr:colOff>
          <xdr:row>47</xdr:row>
          <xdr:rowOff>171450</xdr:rowOff>
        </xdr:from>
        <xdr:to>
          <xdr:col>6</xdr:col>
          <xdr:colOff>142875</xdr:colOff>
          <xdr:row>49</xdr:row>
          <xdr:rowOff>19050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2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876300</xdr:colOff>
          <xdr:row>50</xdr:row>
          <xdr:rowOff>0</xdr:rowOff>
        </xdr:from>
        <xdr:to>
          <xdr:col>1</xdr:col>
          <xdr:colOff>600075</xdr:colOff>
          <xdr:row>51</xdr:row>
          <xdr:rowOff>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3</xdr:col>
          <xdr:colOff>9525</xdr:colOff>
          <xdr:row>51</xdr:row>
          <xdr:rowOff>9525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2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49</xdr:row>
          <xdr:rowOff>161925</xdr:rowOff>
        </xdr:from>
        <xdr:to>
          <xdr:col>4</xdr:col>
          <xdr:colOff>0</xdr:colOff>
          <xdr:row>51</xdr:row>
          <xdr:rowOff>9525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2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49</xdr:row>
          <xdr:rowOff>180975</xdr:rowOff>
        </xdr:from>
        <xdr:to>
          <xdr:col>5</xdr:col>
          <xdr:colOff>9525</xdr:colOff>
          <xdr:row>51</xdr:row>
          <xdr:rowOff>19050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2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49</xdr:row>
          <xdr:rowOff>171450</xdr:rowOff>
        </xdr:from>
        <xdr:to>
          <xdr:col>6</xdr:col>
          <xdr:colOff>171450</xdr:colOff>
          <xdr:row>51</xdr:row>
          <xdr:rowOff>19050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2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2</xdr:col>
          <xdr:colOff>0</xdr:colOff>
          <xdr:row>53</xdr:row>
          <xdr:rowOff>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2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51</xdr:row>
          <xdr:rowOff>171450</xdr:rowOff>
        </xdr:from>
        <xdr:to>
          <xdr:col>3</xdr:col>
          <xdr:colOff>19050</xdr:colOff>
          <xdr:row>53</xdr:row>
          <xdr:rowOff>9525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200-00007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51</xdr:row>
          <xdr:rowOff>161925</xdr:rowOff>
        </xdr:from>
        <xdr:to>
          <xdr:col>4</xdr:col>
          <xdr:colOff>9525</xdr:colOff>
          <xdr:row>53</xdr:row>
          <xdr:rowOff>9525</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200-00007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51</xdr:row>
          <xdr:rowOff>180975</xdr:rowOff>
        </xdr:from>
        <xdr:to>
          <xdr:col>5</xdr:col>
          <xdr:colOff>19050</xdr:colOff>
          <xdr:row>53</xdr:row>
          <xdr:rowOff>19050</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200-00007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51</xdr:row>
          <xdr:rowOff>171450</xdr:rowOff>
        </xdr:from>
        <xdr:to>
          <xdr:col>6</xdr:col>
          <xdr:colOff>180975</xdr:colOff>
          <xdr:row>53</xdr:row>
          <xdr:rowOff>19050</xdr:rowOff>
        </xdr:to>
        <xdr:sp macro="" textlink="">
          <xdr:nvSpPr>
            <xdr:cNvPr id="1141" name="Button 117" hidden="1">
              <a:extLst>
                <a:ext uri="{63B3BB69-23CF-44E3-9099-C40C66FF867C}">
                  <a14:compatExt spid="_x0000_s1141"/>
                </a:ext>
                <a:ext uri="{FF2B5EF4-FFF2-40B4-BE49-F238E27FC236}">
                  <a16:creationId xmlns:a16="http://schemas.microsoft.com/office/drawing/2014/main" id="{00000000-0008-0000-0200-00007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54</xdr:row>
          <xdr:rowOff>9525</xdr:rowOff>
        </xdr:from>
        <xdr:to>
          <xdr:col>2</xdr:col>
          <xdr:colOff>9525</xdr:colOff>
          <xdr:row>55</xdr:row>
          <xdr:rowOff>9525</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200-00007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53</xdr:row>
          <xdr:rowOff>180975</xdr:rowOff>
        </xdr:from>
        <xdr:to>
          <xdr:col>3</xdr:col>
          <xdr:colOff>28575</xdr:colOff>
          <xdr:row>55</xdr:row>
          <xdr:rowOff>19050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200-00007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53</xdr:row>
          <xdr:rowOff>171450</xdr:rowOff>
        </xdr:from>
        <xdr:to>
          <xdr:col>4</xdr:col>
          <xdr:colOff>19050</xdr:colOff>
          <xdr:row>55</xdr:row>
          <xdr:rowOff>19050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200-00007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0</xdr:rowOff>
        </xdr:from>
        <xdr:to>
          <xdr:col>5</xdr:col>
          <xdr:colOff>28575</xdr:colOff>
          <xdr:row>55</xdr:row>
          <xdr:rowOff>28575</xdr:rowOff>
        </xdr:to>
        <xdr:sp macro="" textlink="">
          <xdr:nvSpPr>
            <xdr:cNvPr id="1145" name="Button 121" hidden="1">
              <a:extLst>
                <a:ext uri="{63B3BB69-23CF-44E3-9099-C40C66FF867C}">
                  <a14:compatExt spid="_x0000_s1145"/>
                </a:ext>
                <a:ext uri="{FF2B5EF4-FFF2-40B4-BE49-F238E27FC236}">
                  <a16:creationId xmlns:a16="http://schemas.microsoft.com/office/drawing/2014/main" id="{00000000-0008-0000-0200-00007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53</xdr:row>
          <xdr:rowOff>180975</xdr:rowOff>
        </xdr:from>
        <xdr:to>
          <xdr:col>6</xdr:col>
          <xdr:colOff>190500</xdr:colOff>
          <xdr:row>55</xdr:row>
          <xdr:rowOff>28575</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200-00007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866775</xdr:colOff>
          <xdr:row>57</xdr:row>
          <xdr:rowOff>180975</xdr:rowOff>
        </xdr:from>
        <xdr:to>
          <xdr:col>1</xdr:col>
          <xdr:colOff>590550</xdr:colOff>
          <xdr:row>59</xdr:row>
          <xdr:rowOff>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2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57</xdr:row>
          <xdr:rowOff>161925</xdr:rowOff>
        </xdr:from>
        <xdr:to>
          <xdr:col>3</xdr:col>
          <xdr:colOff>0</xdr:colOff>
          <xdr:row>59</xdr:row>
          <xdr:rowOff>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2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57</xdr:row>
          <xdr:rowOff>152400</xdr:rowOff>
        </xdr:from>
        <xdr:to>
          <xdr:col>3</xdr:col>
          <xdr:colOff>619125</xdr:colOff>
          <xdr:row>59</xdr:row>
          <xdr:rowOff>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2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171450</xdr:rowOff>
        </xdr:from>
        <xdr:to>
          <xdr:col>5</xdr:col>
          <xdr:colOff>0</xdr:colOff>
          <xdr:row>59</xdr:row>
          <xdr:rowOff>9525</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2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57</xdr:row>
          <xdr:rowOff>161925</xdr:rowOff>
        </xdr:from>
        <xdr:to>
          <xdr:col>6</xdr:col>
          <xdr:colOff>161925</xdr:colOff>
          <xdr:row>59</xdr:row>
          <xdr:rowOff>9525</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2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866775</xdr:colOff>
          <xdr:row>61</xdr:row>
          <xdr:rowOff>9525</xdr:rowOff>
        </xdr:from>
        <xdr:to>
          <xdr:col>1</xdr:col>
          <xdr:colOff>590550</xdr:colOff>
          <xdr:row>62</xdr:row>
          <xdr:rowOff>9525</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2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60</xdr:row>
          <xdr:rowOff>180975</xdr:rowOff>
        </xdr:from>
        <xdr:to>
          <xdr:col>3</xdr:col>
          <xdr:colOff>0</xdr:colOff>
          <xdr:row>62</xdr:row>
          <xdr:rowOff>19050</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2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60</xdr:row>
          <xdr:rowOff>171450</xdr:rowOff>
        </xdr:from>
        <xdr:to>
          <xdr:col>3</xdr:col>
          <xdr:colOff>619125</xdr:colOff>
          <xdr:row>62</xdr:row>
          <xdr:rowOff>19050</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2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5</xdr:col>
          <xdr:colOff>0</xdr:colOff>
          <xdr:row>62</xdr:row>
          <xdr:rowOff>28575</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2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60</xdr:row>
          <xdr:rowOff>180975</xdr:rowOff>
        </xdr:from>
        <xdr:to>
          <xdr:col>6</xdr:col>
          <xdr:colOff>161925</xdr:colOff>
          <xdr:row>62</xdr:row>
          <xdr:rowOff>28575</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2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866775</xdr:colOff>
          <xdr:row>63</xdr:row>
          <xdr:rowOff>9525</xdr:rowOff>
        </xdr:from>
        <xdr:to>
          <xdr:col>1</xdr:col>
          <xdr:colOff>590550</xdr:colOff>
          <xdr:row>64</xdr:row>
          <xdr:rowOff>9525</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2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62</xdr:row>
          <xdr:rowOff>180975</xdr:rowOff>
        </xdr:from>
        <xdr:to>
          <xdr:col>3</xdr:col>
          <xdr:colOff>0</xdr:colOff>
          <xdr:row>64</xdr:row>
          <xdr:rowOff>19050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2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62</xdr:row>
          <xdr:rowOff>171450</xdr:rowOff>
        </xdr:from>
        <xdr:to>
          <xdr:col>3</xdr:col>
          <xdr:colOff>619125</xdr:colOff>
          <xdr:row>64</xdr:row>
          <xdr:rowOff>19050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2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5</xdr:col>
          <xdr:colOff>0</xdr:colOff>
          <xdr:row>64</xdr:row>
          <xdr:rowOff>28575</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2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62</xdr:row>
          <xdr:rowOff>180975</xdr:rowOff>
        </xdr:from>
        <xdr:to>
          <xdr:col>6</xdr:col>
          <xdr:colOff>161925</xdr:colOff>
          <xdr:row>64</xdr:row>
          <xdr:rowOff>28575</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2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64</xdr:row>
          <xdr:rowOff>171450</xdr:rowOff>
        </xdr:from>
        <xdr:to>
          <xdr:col>2</xdr:col>
          <xdr:colOff>9525</xdr:colOff>
          <xdr:row>65</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2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64</xdr:row>
          <xdr:rowOff>152400</xdr:rowOff>
        </xdr:from>
        <xdr:to>
          <xdr:col>3</xdr:col>
          <xdr:colOff>28575</xdr:colOff>
          <xdr:row>66</xdr:row>
          <xdr:rowOff>0</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2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64</xdr:row>
          <xdr:rowOff>142875</xdr:rowOff>
        </xdr:from>
        <xdr:to>
          <xdr:col>4</xdr:col>
          <xdr:colOff>19050</xdr:colOff>
          <xdr:row>66</xdr:row>
          <xdr:rowOff>0</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2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64</xdr:row>
          <xdr:rowOff>161925</xdr:rowOff>
        </xdr:from>
        <xdr:to>
          <xdr:col>5</xdr:col>
          <xdr:colOff>28575</xdr:colOff>
          <xdr:row>66</xdr:row>
          <xdr:rowOff>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2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64</xdr:row>
          <xdr:rowOff>152400</xdr:rowOff>
        </xdr:from>
        <xdr:to>
          <xdr:col>6</xdr:col>
          <xdr:colOff>190500</xdr:colOff>
          <xdr:row>66</xdr:row>
          <xdr:rowOff>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2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43</xdr:row>
          <xdr:rowOff>171450</xdr:rowOff>
        </xdr:from>
        <xdr:to>
          <xdr:col>6</xdr:col>
          <xdr:colOff>9525</xdr:colOff>
          <xdr:row>45</xdr:row>
          <xdr:rowOff>28575</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2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43</xdr:row>
          <xdr:rowOff>171450</xdr:rowOff>
        </xdr:from>
        <xdr:to>
          <xdr:col>6</xdr:col>
          <xdr:colOff>152400</xdr:colOff>
          <xdr:row>45</xdr:row>
          <xdr:rowOff>19050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2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16</xdr:row>
          <xdr:rowOff>9525</xdr:rowOff>
        </xdr:from>
        <xdr:to>
          <xdr:col>2</xdr:col>
          <xdr:colOff>0</xdr:colOff>
          <xdr:row>17</xdr:row>
          <xdr:rowOff>28575</xdr:rowOff>
        </xdr:to>
        <xdr:sp macro="" textlink="">
          <xdr:nvSpPr>
            <xdr:cNvPr id="1171" name="Button1" hidden="1">
              <a:extLst>
                <a:ext uri="{63B3BB69-23CF-44E3-9099-C40C66FF867C}">
                  <a14:compatExt spid="_x0000_s1171"/>
                </a:ext>
                <a:ext uri="{FF2B5EF4-FFF2-40B4-BE49-F238E27FC236}">
                  <a16:creationId xmlns:a16="http://schemas.microsoft.com/office/drawing/2014/main" id="{00000000-0008-0000-02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17</xdr:row>
          <xdr:rowOff>161925</xdr:rowOff>
        </xdr:from>
        <xdr:to>
          <xdr:col>2</xdr:col>
          <xdr:colOff>19050</xdr:colOff>
          <xdr:row>19</xdr:row>
          <xdr:rowOff>19050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2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161925</xdr:rowOff>
        </xdr:from>
        <xdr:to>
          <xdr:col>3</xdr:col>
          <xdr:colOff>28575</xdr:colOff>
          <xdr:row>19</xdr:row>
          <xdr:rowOff>28575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2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17</xdr:row>
          <xdr:rowOff>171450</xdr:rowOff>
        </xdr:from>
        <xdr:to>
          <xdr:col>4</xdr:col>
          <xdr:colOff>0</xdr:colOff>
          <xdr:row>19</xdr:row>
          <xdr:rowOff>28575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2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17</xdr:row>
          <xdr:rowOff>180975</xdr:rowOff>
        </xdr:from>
        <xdr:to>
          <xdr:col>5</xdr:col>
          <xdr:colOff>57150</xdr:colOff>
          <xdr:row>19</xdr:row>
          <xdr:rowOff>38100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2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171450</xdr:rowOff>
        </xdr:from>
        <xdr:to>
          <xdr:col>6</xdr:col>
          <xdr:colOff>200025</xdr:colOff>
          <xdr:row>19</xdr:row>
          <xdr:rowOff>19050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2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19</xdr:row>
          <xdr:rowOff>161925</xdr:rowOff>
        </xdr:from>
        <xdr:to>
          <xdr:col>2</xdr:col>
          <xdr:colOff>19050</xdr:colOff>
          <xdr:row>21</xdr:row>
          <xdr:rowOff>19050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2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161925</xdr:rowOff>
        </xdr:from>
        <xdr:to>
          <xdr:col>3</xdr:col>
          <xdr:colOff>28575</xdr:colOff>
          <xdr:row>21</xdr:row>
          <xdr:rowOff>28575</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2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19</xdr:row>
          <xdr:rowOff>171450</xdr:rowOff>
        </xdr:from>
        <xdr:to>
          <xdr:col>4</xdr:col>
          <xdr:colOff>0</xdr:colOff>
          <xdr:row>21</xdr:row>
          <xdr:rowOff>28575</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2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19</xdr:row>
          <xdr:rowOff>180975</xdr:rowOff>
        </xdr:from>
        <xdr:to>
          <xdr:col>5</xdr:col>
          <xdr:colOff>57150</xdr:colOff>
          <xdr:row>21</xdr:row>
          <xdr:rowOff>38100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2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19</xdr:row>
          <xdr:rowOff>171450</xdr:rowOff>
        </xdr:from>
        <xdr:to>
          <xdr:col>6</xdr:col>
          <xdr:colOff>200025</xdr:colOff>
          <xdr:row>21</xdr:row>
          <xdr:rowOff>19050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2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18</xdr:row>
          <xdr:rowOff>9525</xdr:rowOff>
        </xdr:from>
        <xdr:to>
          <xdr:col>2</xdr:col>
          <xdr:colOff>0</xdr:colOff>
          <xdr:row>19</xdr:row>
          <xdr:rowOff>28575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2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20</xdr:row>
          <xdr:rowOff>9525</xdr:rowOff>
        </xdr:from>
        <xdr:to>
          <xdr:col>2</xdr:col>
          <xdr:colOff>0</xdr:colOff>
          <xdr:row>21</xdr:row>
          <xdr:rowOff>28575</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2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21</xdr:row>
          <xdr:rowOff>161925</xdr:rowOff>
        </xdr:from>
        <xdr:to>
          <xdr:col>2</xdr:col>
          <xdr:colOff>19050</xdr:colOff>
          <xdr:row>23</xdr:row>
          <xdr:rowOff>19050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2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161925</xdr:rowOff>
        </xdr:from>
        <xdr:to>
          <xdr:col>3</xdr:col>
          <xdr:colOff>28575</xdr:colOff>
          <xdr:row>23</xdr:row>
          <xdr:rowOff>28575</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2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21</xdr:row>
          <xdr:rowOff>171450</xdr:rowOff>
        </xdr:from>
        <xdr:to>
          <xdr:col>4</xdr:col>
          <xdr:colOff>0</xdr:colOff>
          <xdr:row>23</xdr:row>
          <xdr:rowOff>28575</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2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21</xdr:row>
          <xdr:rowOff>180975</xdr:rowOff>
        </xdr:from>
        <xdr:to>
          <xdr:col>5</xdr:col>
          <xdr:colOff>57150</xdr:colOff>
          <xdr:row>23</xdr:row>
          <xdr:rowOff>38100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2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21</xdr:row>
          <xdr:rowOff>171450</xdr:rowOff>
        </xdr:from>
        <xdr:to>
          <xdr:col>6</xdr:col>
          <xdr:colOff>200025</xdr:colOff>
          <xdr:row>23</xdr:row>
          <xdr:rowOff>19050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2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22</xdr:row>
          <xdr:rowOff>9525</xdr:rowOff>
        </xdr:from>
        <xdr:to>
          <xdr:col>2</xdr:col>
          <xdr:colOff>0</xdr:colOff>
          <xdr:row>23</xdr:row>
          <xdr:rowOff>28575</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2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9525</xdr:rowOff>
        </xdr:from>
        <xdr:to>
          <xdr:col>2</xdr:col>
          <xdr:colOff>0</xdr:colOff>
          <xdr:row>13</xdr:row>
          <xdr:rowOff>28575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2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586396</xdr:colOff>
      <xdr:row>2</xdr:row>
      <xdr:rowOff>0</xdr:rowOff>
    </xdr:from>
    <xdr:to>
      <xdr:col>22</xdr:col>
      <xdr:colOff>326201</xdr:colOff>
      <xdr:row>16</xdr:row>
      <xdr:rowOff>141249</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519161</xdr:colOff>
      <xdr:row>18</xdr:row>
      <xdr:rowOff>49770</xdr:rowOff>
    </xdr:from>
    <xdr:to>
      <xdr:col>22</xdr:col>
      <xdr:colOff>258966</xdr:colOff>
      <xdr:row>33</xdr:row>
      <xdr:rowOff>5165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302011</xdr:colOff>
      <xdr:row>8</xdr:row>
      <xdr:rowOff>116158</xdr:rowOff>
    </xdr:from>
    <xdr:to>
      <xdr:col>14</xdr:col>
      <xdr:colOff>33344</xdr:colOff>
      <xdr:row>25</xdr:row>
      <xdr:rowOff>3526</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f95853ffe799d9e9/Documents/Oliver%20Ara/Year%203/BCIS303%20-%20IT%20Governance/Assessment%201/BCIS303%20-%20Ass%5eN1%20-%20Olivier%20Gautrelet/Report/BCIS303%20Ass%5eN1%20Thematic%20Analysis%20-%20Daniel%20Wild%20Olivier%20Gautrelet.xlsx?8C1AC8A8" TargetMode="External"/><Relationship Id="rId1" Type="http://schemas.openxmlformats.org/officeDocument/2006/relationships/externalLinkPath" Target="file:///\\8C1AC8A8\BCIS303%20Ass%5eN1%20Thematic%20Analysis%20-%20Daniel%20Wild%20Olivier%20Gautrel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H"/>
      <sheetName val="Novopay"/>
      <sheetName val="Analysis sheet"/>
    </sheetNames>
    <sheetDataSet>
      <sheetData sheetId="0" refreshError="1"/>
      <sheetData sheetId="1" refreshError="1"/>
      <sheetData sheetId="2">
        <row r="1">
          <cell r="F1" t="str">
            <v>Total</v>
          </cell>
          <cell r="L1" t="str">
            <v>Percent</v>
          </cell>
        </row>
        <row r="2">
          <cell r="C2" t="str">
            <v>Undermined Motivation</v>
          </cell>
          <cell r="F2">
            <v>5</v>
          </cell>
          <cell r="J2" t="str">
            <v>People</v>
          </cell>
          <cell r="L2">
            <v>0.40065146579804561</v>
          </cell>
        </row>
        <row r="3">
          <cell r="C3" t="str">
            <v>Ineffective stakeholder management</v>
          </cell>
          <cell r="F3">
            <v>20</v>
          </cell>
          <cell r="J3" t="str">
            <v>Process</v>
          </cell>
          <cell r="L3">
            <v>0.57003257328990231</v>
          </cell>
        </row>
        <row r="4">
          <cell r="C4" t="str">
            <v>Individual capabilities</v>
          </cell>
          <cell r="F4">
            <v>6</v>
          </cell>
          <cell r="J4" t="str">
            <v>Technology</v>
          </cell>
          <cell r="L4">
            <v>1.3029315960912053E-2</v>
          </cell>
        </row>
        <row r="5">
          <cell r="C5" t="str">
            <v>Ineffective Leadership</v>
          </cell>
          <cell r="F5">
            <v>16</v>
          </cell>
          <cell r="J5" t="str">
            <v>Product</v>
          </cell>
          <cell r="L5">
            <v>1.6286644951140065E-2</v>
          </cell>
        </row>
        <row r="6">
          <cell r="C6" t="str">
            <v>Team lack of experience</v>
          </cell>
          <cell r="F6">
            <v>7</v>
          </cell>
        </row>
        <row r="7">
          <cell r="C7" t="str">
            <v>Poor management decisions</v>
          </cell>
          <cell r="F7">
            <v>29</v>
          </cell>
        </row>
        <row r="8">
          <cell r="C8" t="str">
            <v>Insufficient communication</v>
          </cell>
          <cell r="F8">
            <v>32</v>
          </cell>
        </row>
        <row r="9">
          <cell r="C9" t="str">
            <v>Lack of accountability</v>
          </cell>
          <cell r="F9">
            <v>8</v>
          </cell>
        </row>
        <row r="11">
          <cell r="C11" t="str">
            <v>Poor estimation and/or Scheduling</v>
          </cell>
          <cell r="F11">
            <v>11</v>
          </cell>
        </row>
        <row r="12">
          <cell r="C12" t="str">
            <v>Insufficient risk management</v>
          </cell>
          <cell r="F12">
            <v>20</v>
          </cell>
        </row>
        <row r="13">
          <cell r="C13" t="str">
            <v>Insufficient Planning</v>
          </cell>
          <cell r="F13">
            <v>66</v>
          </cell>
        </row>
        <row r="14">
          <cell r="C14" t="str">
            <v>Short-changed quality assurance</v>
          </cell>
          <cell r="F14">
            <v>3</v>
          </cell>
        </row>
        <row r="15">
          <cell r="C15" t="str">
            <v>Poor requirements determination</v>
          </cell>
          <cell r="F15">
            <v>22</v>
          </cell>
        </row>
        <row r="16">
          <cell r="C16" t="str">
            <v>Contractor failure</v>
          </cell>
          <cell r="F16">
            <v>7</v>
          </cell>
        </row>
        <row r="17">
          <cell r="C17" t="str">
            <v>Insufficient management controls</v>
          </cell>
          <cell r="F17">
            <v>46</v>
          </cell>
        </row>
      </sheetData>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03591-07BA-402A-8AF6-2C52767F8547}">
  <sheetPr codeName="Sheet2"/>
  <dimension ref="A1:H5"/>
  <sheetViews>
    <sheetView workbookViewId="0">
      <selection activeCell="F40" sqref="F40"/>
    </sheetView>
  </sheetViews>
  <sheetFormatPr defaultRowHeight="15" x14ac:dyDescent="0.25"/>
  <sheetData>
    <row r="1" spans="1:8" ht="31.5" x14ac:dyDescent="0.6">
      <c r="A1" s="31" t="s">
        <v>99</v>
      </c>
    </row>
    <row r="2" spans="1:8" ht="18.75" x14ac:dyDescent="0.3">
      <c r="A2" s="32" t="s">
        <v>0</v>
      </c>
      <c r="B2" s="32"/>
      <c r="C2" s="32"/>
      <c r="D2" s="32"/>
      <c r="E2" s="32"/>
      <c r="F2" s="32"/>
      <c r="G2" s="32"/>
      <c r="H2" s="32"/>
    </row>
    <row r="3" spans="1:8" ht="18.75" x14ac:dyDescent="0.3">
      <c r="A3" s="32" t="s">
        <v>115</v>
      </c>
      <c r="B3" s="32"/>
      <c r="C3" s="32"/>
      <c r="D3" s="32"/>
      <c r="E3" s="32"/>
      <c r="F3" s="32"/>
      <c r="G3" s="32"/>
      <c r="H3" s="32"/>
    </row>
    <row r="4" spans="1:8" ht="18.75" x14ac:dyDescent="0.3">
      <c r="A4" s="32" t="s">
        <v>114</v>
      </c>
      <c r="B4" s="32"/>
      <c r="C4" s="32"/>
      <c r="D4" s="32"/>
      <c r="E4" s="32"/>
      <c r="F4" s="32"/>
      <c r="G4" s="32"/>
      <c r="H4" s="32"/>
    </row>
    <row r="5" spans="1:8" ht="18.75" x14ac:dyDescent="0.3">
      <c r="A5" s="32" t="s">
        <v>116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65D2E-F0E5-4EE9-A950-74EE09B49C32}">
  <sheetPr codeName="Sheet3"/>
  <dimension ref="A1:L72"/>
  <sheetViews>
    <sheetView zoomScale="85" zoomScaleNormal="85" workbookViewId="0">
      <selection activeCell="G16" sqref="G16"/>
    </sheetView>
  </sheetViews>
  <sheetFormatPr defaultRowHeight="15" x14ac:dyDescent="0.25"/>
  <cols>
    <col min="1" max="1" width="11.85546875" customWidth="1"/>
    <col min="2" max="2" width="52" customWidth="1"/>
    <col min="3" max="3" width="40.7109375" customWidth="1"/>
    <col min="4" max="4" width="22.42578125" customWidth="1"/>
    <col min="5" max="5" width="56.140625" customWidth="1"/>
    <col min="11" max="11" width="67" customWidth="1"/>
    <col min="12" max="12" width="29.7109375" customWidth="1"/>
  </cols>
  <sheetData>
    <row r="1" spans="1:12" ht="18.75" x14ac:dyDescent="0.3">
      <c r="A1" s="10"/>
      <c r="B1" s="10"/>
      <c r="C1" s="11" t="s">
        <v>1</v>
      </c>
      <c r="D1" s="10"/>
    </row>
    <row r="2" spans="1:12" x14ac:dyDescent="0.25">
      <c r="A2" s="10"/>
      <c r="B2" s="10"/>
      <c r="C2" s="10"/>
      <c r="D2" s="10"/>
      <c r="E2" s="10"/>
    </row>
    <row r="3" spans="1:12" ht="18.75" x14ac:dyDescent="0.3">
      <c r="A3" s="10"/>
      <c r="B3" s="12" t="s">
        <v>2</v>
      </c>
      <c r="C3" s="10"/>
    </row>
    <row r="4" spans="1:12" x14ac:dyDescent="0.25">
      <c r="A4" s="10"/>
      <c r="B4" t="s">
        <v>3</v>
      </c>
      <c r="C4" s="13" t="s">
        <v>4</v>
      </c>
      <c r="D4" s="14" t="s">
        <v>4</v>
      </c>
      <c r="E4" s="10"/>
    </row>
    <row r="5" spans="1:12" x14ac:dyDescent="0.25">
      <c r="A5" s="10"/>
      <c r="B5" s="15"/>
      <c r="C5" s="10"/>
      <c r="D5" s="10"/>
      <c r="E5" s="10"/>
    </row>
    <row r="6" spans="1:12" x14ac:dyDescent="0.25">
      <c r="A6" s="10"/>
      <c r="B6" s="10"/>
      <c r="C6" s="10"/>
      <c r="D6" s="10"/>
      <c r="E6" s="10"/>
    </row>
    <row r="7" spans="1:12" ht="60" x14ac:dyDescent="0.25">
      <c r="A7" s="16" t="s">
        <v>5</v>
      </c>
      <c r="B7" s="16" t="s">
        <v>6</v>
      </c>
      <c r="C7" s="16" t="s">
        <v>7</v>
      </c>
      <c r="D7" s="16" t="s">
        <v>8</v>
      </c>
      <c r="E7" s="16" t="s">
        <v>9</v>
      </c>
      <c r="K7" s="8" t="s">
        <v>10</v>
      </c>
      <c r="L7" s="8" t="s">
        <v>11</v>
      </c>
    </row>
    <row r="8" spans="1:12" x14ac:dyDescent="0.25">
      <c r="A8" s="17"/>
      <c r="B8" s="9"/>
      <c r="C8" s="17"/>
      <c r="D8" s="17"/>
      <c r="E8" s="9"/>
      <c r="K8" s="9"/>
    </row>
    <row r="9" spans="1:12" x14ac:dyDescent="0.25">
      <c r="A9" s="17"/>
      <c r="B9" s="9"/>
      <c r="C9" s="17"/>
      <c r="D9" s="17"/>
      <c r="E9" s="9"/>
      <c r="K9" s="9"/>
    </row>
    <row r="10" spans="1:12" x14ac:dyDescent="0.25">
      <c r="A10" s="17"/>
      <c r="B10" s="9"/>
      <c r="C10" s="17"/>
      <c r="D10" s="17"/>
      <c r="E10" s="9"/>
    </row>
    <row r="11" spans="1:12" x14ac:dyDescent="0.25">
      <c r="A11" s="17"/>
      <c r="B11" s="9"/>
      <c r="C11" s="17"/>
      <c r="D11" s="17"/>
      <c r="E11" s="9"/>
    </row>
    <row r="12" spans="1:12" x14ac:dyDescent="0.25">
      <c r="A12" s="17"/>
      <c r="B12" s="9"/>
      <c r="C12" s="17"/>
      <c r="D12" s="17"/>
      <c r="E12" s="9"/>
    </row>
    <row r="13" spans="1:12" x14ac:dyDescent="0.25">
      <c r="A13" s="17"/>
      <c r="B13" s="9"/>
      <c r="C13" s="17"/>
      <c r="D13" s="17"/>
      <c r="E13" s="9"/>
    </row>
    <row r="14" spans="1:12" x14ac:dyDescent="0.25">
      <c r="A14" s="17"/>
      <c r="B14" s="9"/>
      <c r="C14" s="17"/>
      <c r="D14" s="17"/>
      <c r="E14" s="9"/>
    </row>
    <row r="15" spans="1:12" x14ac:dyDescent="0.25">
      <c r="A15" s="17"/>
      <c r="B15" s="9"/>
      <c r="C15" s="17"/>
      <c r="D15" s="17"/>
      <c r="E15" s="9"/>
    </row>
    <row r="16" spans="1:12" x14ac:dyDescent="0.25">
      <c r="A16" s="17"/>
      <c r="B16" s="9"/>
      <c r="C16" s="17"/>
      <c r="D16" s="17"/>
      <c r="E16" s="9"/>
    </row>
    <row r="17" spans="1:5" x14ac:dyDescent="0.25">
      <c r="A17" s="17"/>
      <c r="B17" s="9"/>
      <c r="C17" s="17"/>
      <c r="D17" s="17"/>
      <c r="E17" s="9"/>
    </row>
    <row r="18" spans="1:5" x14ac:dyDescent="0.25">
      <c r="A18" s="17"/>
      <c r="B18" s="9"/>
      <c r="C18" s="17"/>
      <c r="D18" s="17"/>
      <c r="E18" s="9"/>
    </row>
    <row r="19" spans="1:5" x14ac:dyDescent="0.25">
      <c r="A19" s="17"/>
      <c r="B19" s="9"/>
      <c r="C19" s="17"/>
      <c r="D19" s="17"/>
      <c r="E19" s="9"/>
    </row>
    <row r="20" spans="1:5" x14ac:dyDescent="0.25">
      <c r="A20" s="17"/>
      <c r="B20" s="9"/>
      <c r="C20" s="17"/>
      <c r="D20" s="17"/>
      <c r="E20" s="9"/>
    </row>
    <row r="21" spans="1:5" x14ac:dyDescent="0.25">
      <c r="A21" s="17"/>
      <c r="B21" s="9"/>
      <c r="C21" s="17"/>
      <c r="D21" s="17"/>
      <c r="E21" s="9"/>
    </row>
    <row r="22" spans="1:5" x14ac:dyDescent="0.25">
      <c r="A22" s="18"/>
      <c r="B22" s="9"/>
      <c r="C22" s="17"/>
      <c r="D22" s="17"/>
      <c r="E22" s="9"/>
    </row>
    <row r="23" spans="1:5" x14ac:dyDescent="0.25">
      <c r="A23" s="18"/>
      <c r="B23" s="9"/>
      <c r="C23" s="17"/>
      <c r="D23" s="17"/>
      <c r="E23" s="9"/>
    </row>
    <row r="24" spans="1:5" x14ac:dyDescent="0.25">
      <c r="A24" s="18"/>
      <c r="B24" s="9"/>
      <c r="C24" s="17"/>
      <c r="D24" s="17"/>
      <c r="E24" s="9"/>
    </row>
    <row r="25" spans="1:5" x14ac:dyDescent="0.25">
      <c r="A25" s="18"/>
      <c r="B25" s="9"/>
      <c r="C25" s="17"/>
      <c r="D25" s="17"/>
      <c r="E25" s="9"/>
    </row>
    <row r="26" spans="1:5" x14ac:dyDescent="0.25">
      <c r="A26" s="18"/>
      <c r="B26" s="9"/>
      <c r="C26" s="17"/>
      <c r="D26" s="17"/>
      <c r="E26" s="9"/>
    </row>
    <row r="27" spans="1:5" x14ac:dyDescent="0.25">
      <c r="A27" s="18"/>
      <c r="B27" s="9"/>
      <c r="C27" s="17"/>
      <c r="D27" s="17"/>
      <c r="E27" s="9"/>
    </row>
    <row r="28" spans="1:5" x14ac:dyDescent="0.25">
      <c r="A28" s="18"/>
      <c r="B28" s="9"/>
      <c r="C28" s="17"/>
      <c r="D28" s="17"/>
      <c r="E28" s="9"/>
    </row>
    <row r="29" spans="1:5" x14ac:dyDescent="0.25">
      <c r="A29" s="18"/>
      <c r="B29" s="9"/>
      <c r="C29" s="17"/>
      <c r="D29" s="17"/>
      <c r="E29" s="9"/>
    </row>
    <row r="30" spans="1:5" x14ac:dyDescent="0.25">
      <c r="A30" s="18"/>
      <c r="B30" s="9"/>
      <c r="C30" s="17"/>
      <c r="D30" s="17"/>
      <c r="E30" s="9"/>
    </row>
    <row r="31" spans="1:5" x14ac:dyDescent="0.25">
      <c r="A31" s="18"/>
      <c r="B31" s="9"/>
      <c r="C31" s="17"/>
      <c r="D31" s="17"/>
      <c r="E31" s="9"/>
    </row>
    <row r="32" spans="1:5" x14ac:dyDescent="0.25">
      <c r="A32" s="18"/>
      <c r="B32" s="9"/>
      <c r="C32" s="17"/>
      <c r="D32" s="17"/>
      <c r="E32" s="9"/>
    </row>
    <row r="33" spans="1:5" x14ac:dyDescent="0.25">
      <c r="A33" s="18"/>
      <c r="B33" s="9"/>
      <c r="C33" s="17"/>
      <c r="D33" s="17"/>
      <c r="E33" s="9"/>
    </row>
    <row r="34" spans="1:5" x14ac:dyDescent="0.25">
      <c r="A34" s="18"/>
      <c r="B34" s="9"/>
      <c r="C34" s="17"/>
      <c r="D34" s="17"/>
      <c r="E34" s="9"/>
    </row>
    <row r="35" spans="1:5" ht="166.5" customHeight="1" x14ac:dyDescent="0.25">
      <c r="A35" s="18"/>
      <c r="B35" s="9"/>
      <c r="C35" s="17"/>
      <c r="D35" s="17"/>
      <c r="E35" s="9"/>
    </row>
    <row r="36" spans="1:5" x14ac:dyDescent="0.25">
      <c r="A36" s="18"/>
      <c r="B36" s="9"/>
      <c r="C36" s="17"/>
      <c r="D36" s="17"/>
      <c r="E36" s="9"/>
    </row>
    <row r="37" spans="1:5" x14ac:dyDescent="0.25">
      <c r="A37" s="18"/>
      <c r="B37" s="9"/>
      <c r="C37" s="17"/>
      <c r="D37" s="17"/>
    </row>
    <row r="38" spans="1:5" x14ac:dyDescent="0.25">
      <c r="A38" s="18"/>
      <c r="B38" s="18"/>
      <c r="C38" s="18"/>
      <c r="D38" s="18"/>
    </row>
    <row r="39" spans="1:5" x14ac:dyDescent="0.25">
      <c r="A39" s="18"/>
      <c r="B39" s="18"/>
      <c r="C39" s="18"/>
      <c r="D39" s="18"/>
    </row>
    <row r="40" spans="1:5" x14ac:dyDescent="0.25">
      <c r="A40" s="18"/>
      <c r="B40" s="18"/>
      <c r="C40" s="18"/>
      <c r="D40" s="18"/>
    </row>
    <row r="41" spans="1:5" x14ac:dyDescent="0.25">
      <c r="A41" s="18"/>
      <c r="B41" s="18"/>
      <c r="C41" s="18"/>
      <c r="D41" s="18"/>
    </row>
    <row r="42" spans="1:5" x14ac:dyDescent="0.25">
      <c r="A42" s="17"/>
      <c r="B42" s="17"/>
      <c r="C42" s="17"/>
      <c r="D42" s="17"/>
    </row>
    <row r="43" spans="1:5" x14ac:dyDescent="0.25">
      <c r="A43" s="17"/>
      <c r="B43" s="17"/>
      <c r="C43" s="17"/>
      <c r="D43" s="17"/>
    </row>
    <row r="44" spans="1:5" x14ac:dyDescent="0.25">
      <c r="A44" s="17"/>
      <c r="B44" s="17"/>
      <c r="C44" s="17"/>
      <c r="D44" s="17"/>
    </row>
    <row r="45" spans="1:5" x14ac:dyDescent="0.25">
      <c r="A45" s="17"/>
      <c r="B45" s="17"/>
      <c r="C45" s="17"/>
      <c r="D45" s="17"/>
    </row>
    <row r="46" spans="1:5" x14ac:dyDescent="0.25">
      <c r="A46" s="17"/>
      <c r="B46" s="17"/>
      <c r="C46" s="17"/>
      <c r="D46" s="17"/>
    </row>
    <row r="47" spans="1:5" x14ac:dyDescent="0.25">
      <c r="A47" s="17"/>
      <c r="B47" s="17"/>
      <c r="C47" s="17"/>
      <c r="D47" s="17"/>
    </row>
    <row r="48" spans="1:5" x14ac:dyDescent="0.25">
      <c r="A48" s="17"/>
      <c r="B48" s="17"/>
      <c r="C48" s="17"/>
      <c r="D48" s="17"/>
    </row>
    <row r="49" spans="1:4" x14ac:dyDescent="0.25">
      <c r="A49" s="17"/>
      <c r="B49" s="17"/>
      <c r="C49" s="17"/>
      <c r="D49" s="17"/>
    </row>
    <row r="50" spans="1:4" x14ac:dyDescent="0.25">
      <c r="A50" s="17"/>
      <c r="B50" s="17"/>
      <c r="C50" s="17"/>
      <c r="D50" s="17"/>
    </row>
    <row r="51" spans="1:4" x14ac:dyDescent="0.25">
      <c r="A51" s="17"/>
      <c r="B51" s="17"/>
      <c r="C51" s="17"/>
      <c r="D51" s="17"/>
    </row>
    <row r="52" spans="1:4" x14ac:dyDescent="0.25">
      <c r="A52" s="17"/>
      <c r="B52" s="17"/>
      <c r="C52" s="17"/>
      <c r="D52" s="17"/>
    </row>
    <row r="53" spans="1:4" x14ac:dyDescent="0.25">
      <c r="A53" s="17"/>
      <c r="B53" s="17"/>
      <c r="C53" s="17"/>
      <c r="D53" s="17"/>
    </row>
    <row r="54" spans="1:4" x14ac:dyDescent="0.25">
      <c r="A54" s="17"/>
      <c r="B54" s="17"/>
      <c r="C54" s="17"/>
      <c r="D54" s="17"/>
    </row>
    <row r="55" spans="1:4" x14ac:dyDescent="0.25">
      <c r="A55" s="17"/>
      <c r="B55" s="17"/>
      <c r="C55" s="17"/>
      <c r="D55" s="17"/>
    </row>
    <row r="56" spans="1:4" x14ac:dyDescent="0.25">
      <c r="A56" s="17"/>
      <c r="B56" s="17"/>
      <c r="C56" s="17"/>
      <c r="D56" s="17"/>
    </row>
    <row r="57" spans="1:4" x14ac:dyDescent="0.25">
      <c r="A57" s="17"/>
      <c r="B57" s="17"/>
      <c r="C57" s="17"/>
      <c r="D57" s="17"/>
    </row>
    <row r="58" spans="1:4" x14ac:dyDescent="0.25">
      <c r="A58" s="17"/>
      <c r="B58" s="17"/>
      <c r="C58" s="17"/>
      <c r="D58" s="17"/>
    </row>
    <row r="59" spans="1:4" x14ac:dyDescent="0.25">
      <c r="A59" s="17"/>
      <c r="B59" s="17"/>
      <c r="C59" s="17"/>
      <c r="D59" s="17"/>
    </row>
    <row r="60" spans="1:4" x14ac:dyDescent="0.25">
      <c r="A60" s="17"/>
      <c r="B60" s="17"/>
      <c r="C60" s="17"/>
      <c r="D60" s="17"/>
    </row>
    <row r="61" spans="1:4" x14ac:dyDescent="0.25">
      <c r="A61" s="17"/>
      <c r="B61" s="17"/>
      <c r="C61" s="17"/>
      <c r="D61" s="17"/>
    </row>
    <row r="62" spans="1:4" x14ac:dyDescent="0.25">
      <c r="A62" s="17"/>
      <c r="B62" s="17"/>
      <c r="C62" s="17"/>
      <c r="D62" s="17"/>
    </row>
    <row r="63" spans="1:4" x14ac:dyDescent="0.25">
      <c r="A63" s="17"/>
      <c r="B63" s="17"/>
      <c r="C63" s="17"/>
      <c r="D63" s="17"/>
    </row>
    <row r="64" spans="1:4" x14ac:dyDescent="0.25">
      <c r="A64" s="17"/>
      <c r="B64" s="17"/>
      <c r="C64" s="17"/>
      <c r="D64" s="17"/>
    </row>
    <row r="65" spans="1:4" x14ac:dyDescent="0.25">
      <c r="A65" s="17"/>
      <c r="B65" s="17"/>
      <c r="C65" s="17"/>
      <c r="D65" s="17"/>
    </row>
    <row r="66" spans="1:4" x14ac:dyDescent="0.25">
      <c r="A66" s="17"/>
      <c r="B66" s="17"/>
      <c r="C66" s="17"/>
      <c r="D66" s="17"/>
    </row>
    <row r="67" spans="1:4" x14ac:dyDescent="0.25">
      <c r="A67" s="17"/>
      <c r="B67" s="17"/>
      <c r="C67" s="17"/>
      <c r="D67" s="17"/>
    </row>
    <row r="68" spans="1:4" x14ac:dyDescent="0.25">
      <c r="A68" s="17"/>
      <c r="B68" s="17"/>
      <c r="C68" s="17"/>
      <c r="D68" s="17"/>
    </row>
    <row r="69" spans="1:4" x14ac:dyDescent="0.25">
      <c r="A69" s="17"/>
      <c r="B69" s="17"/>
      <c r="C69" s="17"/>
      <c r="D69" s="17"/>
    </row>
    <row r="70" spans="1:4" x14ac:dyDescent="0.25">
      <c r="A70" s="17"/>
      <c r="B70" s="17"/>
      <c r="C70" s="17"/>
      <c r="D70" s="17"/>
    </row>
    <row r="71" spans="1:4" x14ac:dyDescent="0.25">
      <c r="A71" s="17"/>
      <c r="B71" s="17"/>
      <c r="C71" s="17"/>
      <c r="D71" s="17"/>
    </row>
    <row r="72" spans="1:4" x14ac:dyDescent="0.25">
      <c r="A72" s="17"/>
      <c r="B72" s="17"/>
      <c r="C72" s="17"/>
      <c r="D72" s="1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05759-ACF3-483B-BC73-06F4EA72E492}">
  <sheetPr codeName="Sheet1"/>
  <dimension ref="A1:AD66"/>
  <sheetViews>
    <sheetView tabSelected="1" zoomScale="85" zoomScaleNormal="85" workbookViewId="0">
      <selection activeCell="K4" sqref="K4"/>
    </sheetView>
  </sheetViews>
  <sheetFormatPr defaultRowHeight="15" x14ac:dyDescent="0.25"/>
  <cols>
    <col min="1" max="1" width="13.28515625" customWidth="1"/>
    <col min="4" max="4" width="9.42578125" customWidth="1"/>
    <col min="11" max="11" width="17.5703125" customWidth="1"/>
    <col min="12" max="12" width="17.42578125" customWidth="1"/>
    <col min="13" max="13" width="17.85546875" customWidth="1"/>
    <col min="14" max="14" width="19" customWidth="1"/>
    <col min="15" max="15" width="26.5703125" bestFit="1" customWidth="1"/>
    <col min="21" max="21" width="10.28515625" customWidth="1"/>
    <col min="30" max="30" width="139.42578125" bestFit="1" customWidth="1"/>
  </cols>
  <sheetData>
    <row r="1" spans="1:30" x14ac:dyDescent="0.25">
      <c r="A1" t="s">
        <v>41</v>
      </c>
    </row>
    <row r="3" spans="1:30" ht="15.75" x14ac:dyDescent="0.25">
      <c r="A3" s="39" t="s">
        <v>42</v>
      </c>
      <c r="B3" s="40" t="s">
        <v>43</v>
      </c>
      <c r="C3" s="40" t="s">
        <v>44</v>
      </c>
      <c r="D3" s="40" t="s">
        <v>45</v>
      </c>
      <c r="E3" s="40" t="s">
        <v>46</v>
      </c>
      <c r="F3" s="40" t="s">
        <v>47</v>
      </c>
      <c r="G3" s="40" t="s">
        <v>48</v>
      </c>
      <c r="H3" s="40" t="s">
        <v>49</v>
      </c>
      <c r="I3" s="40" t="s">
        <v>50</v>
      </c>
      <c r="J3" s="40" t="s">
        <v>51</v>
      </c>
      <c r="K3" s="40" t="s">
        <v>52</v>
      </c>
      <c r="L3" s="40" t="s">
        <v>53</v>
      </c>
      <c r="M3" s="40" t="s">
        <v>54</v>
      </c>
      <c r="N3" s="40" t="s">
        <v>55</v>
      </c>
      <c r="O3" s="40" t="s">
        <v>56</v>
      </c>
      <c r="X3" s="1"/>
    </row>
    <row r="4" spans="1:30" ht="15.75" x14ac:dyDescent="0.25">
      <c r="A4" s="38" t="s">
        <v>18</v>
      </c>
      <c r="B4" s="33">
        <v>5</v>
      </c>
      <c r="C4" s="33">
        <v>5</v>
      </c>
      <c r="D4" s="33">
        <v>5</v>
      </c>
      <c r="E4" s="33">
        <v>5</v>
      </c>
      <c r="F4" s="33">
        <v>5</v>
      </c>
      <c r="G4" s="33">
        <v>5</v>
      </c>
      <c r="H4" s="33">
        <v>5</v>
      </c>
      <c r="I4" s="33">
        <f>SUM(B4:H4)</f>
        <v>35</v>
      </c>
      <c r="J4" s="23">
        <v>35</v>
      </c>
      <c r="K4" s="34">
        <f>Findings!J2/Findings!J6</f>
        <v>0.40065146579804561</v>
      </c>
      <c r="L4" s="35">
        <f>I4/J4</f>
        <v>1</v>
      </c>
      <c r="M4" s="35">
        <f t="shared" ref="M4:M7" si="0">(1 - N4)</f>
        <v>0.20032573289902278</v>
      </c>
      <c r="N4" s="35">
        <f>IF((L4-K4/2) &lt; 0.05, 0.05, (L4-K4/2))</f>
        <v>0.79967426710097722</v>
      </c>
      <c r="O4" s="36" t="str">
        <f>IF(M4&gt;N4,"Potential issues identified","OK")</f>
        <v>OK</v>
      </c>
      <c r="X4" s="2"/>
    </row>
    <row r="5" spans="1:30" ht="15.75" x14ac:dyDescent="0.25">
      <c r="A5" s="38" t="s">
        <v>21</v>
      </c>
      <c r="B5" s="33">
        <v>1</v>
      </c>
      <c r="C5" s="33">
        <v>1</v>
      </c>
      <c r="D5" s="33">
        <v>1</v>
      </c>
      <c r="E5" s="33">
        <v>1</v>
      </c>
      <c r="F5" s="33">
        <v>1</v>
      </c>
      <c r="G5" s="33">
        <v>1</v>
      </c>
      <c r="H5" s="33">
        <v>1</v>
      </c>
      <c r="I5" s="33">
        <f>SUM(B5:H5)</f>
        <v>7</v>
      </c>
      <c r="J5" s="23">
        <v>35</v>
      </c>
      <c r="K5" s="34">
        <f>Findings!J3/Findings!J6</f>
        <v>0.57003257328990231</v>
      </c>
      <c r="L5" s="35">
        <f>I5/J5</f>
        <v>0.2</v>
      </c>
      <c r="M5" s="35">
        <f t="shared" si="0"/>
        <v>0.95</v>
      </c>
      <c r="N5" s="35">
        <f t="shared" ref="N5" si="1">IF((L5-K5/2) &lt; 0.05, 0.05, (L5-K5/2))</f>
        <v>0.05</v>
      </c>
      <c r="O5" s="36" t="str">
        <f>IF(M5&gt;N5,"Potential issues identified","OK")</f>
        <v>Potential issues identified</v>
      </c>
      <c r="X5" s="2"/>
      <c r="Y5" s="3"/>
      <c r="Z5" s="3"/>
      <c r="AA5" s="3"/>
      <c r="AB5" s="3"/>
      <c r="AC5" s="3"/>
    </row>
    <row r="6" spans="1:30" ht="15.75" x14ac:dyDescent="0.25">
      <c r="A6" s="38" t="s">
        <v>23</v>
      </c>
      <c r="B6" s="33">
        <v>5</v>
      </c>
      <c r="C6" s="33">
        <v>5</v>
      </c>
      <c r="D6" s="33">
        <v>5</v>
      </c>
      <c r="E6" s="33">
        <v>5</v>
      </c>
      <c r="F6" s="37" t="s">
        <v>57</v>
      </c>
      <c r="G6" s="37" t="s">
        <v>57</v>
      </c>
      <c r="H6" s="37" t="s">
        <v>57</v>
      </c>
      <c r="I6" s="33">
        <f>SUM(B6:E6)</f>
        <v>20</v>
      </c>
      <c r="J6" s="23">
        <v>20</v>
      </c>
      <c r="K6" s="34">
        <f>Findings!J4/Findings!J6</f>
        <v>1.3029315960912053E-2</v>
      </c>
      <c r="L6" s="35">
        <f>I6/J6</f>
        <v>1</v>
      </c>
      <c r="M6" s="35">
        <f t="shared" si="0"/>
        <v>6.514657980456029E-3</v>
      </c>
      <c r="N6" s="35">
        <f>IF((L6-(K6/2)) &lt; 0.05, 0.05, (L6-K6/2))</f>
        <v>0.99348534201954397</v>
      </c>
      <c r="O6" s="36" t="str">
        <f>IF(M6&gt;N6,"Potential issues identified","OK")</f>
        <v>OK</v>
      </c>
      <c r="X6" s="2"/>
    </row>
    <row r="7" spans="1:30" ht="15.75" x14ac:dyDescent="0.25">
      <c r="A7" s="38" t="s">
        <v>25</v>
      </c>
      <c r="B7" s="33">
        <v>1</v>
      </c>
      <c r="C7" s="33">
        <v>1</v>
      </c>
      <c r="D7" s="33">
        <v>1</v>
      </c>
      <c r="E7" s="33">
        <v>1</v>
      </c>
      <c r="F7" s="37" t="s">
        <v>57</v>
      </c>
      <c r="G7" s="37" t="s">
        <v>57</v>
      </c>
      <c r="H7" s="37" t="s">
        <v>57</v>
      </c>
      <c r="I7" s="33">
        <f>SUM(B7:E7)</f>
        <v>4</v>
      </c>
      <c r="J7" s="23">
        <v>20</v>
      </c>
      <c r="K7" s="34">
        <f>Findings!J5/Findings!J6</f>
        <v>1.6286644951140065E-2</v>
      </c>
      <c r="L7" s="35">
        <f>I7/J7</f>
        <v>0.2</v>
      </c>
      <c r="M7" s="35">
        <f t="shared" si="0"/>
        <v>0.86514657980456022</v>
      </c>
      <c r="N7" s="35">
        <f>IF((L7-(K7/2)) &lt; 0.05, 0.05, (L7-K7*4))</f>
        <v>0.13485342019543975</v>
      </c>
      <c r="O7" s="36" t="str">
        <f t="shared" ref="O7" si="2">IF(M7&gt;N7,"Potential issues identified","OK")</f>
        <v>Potential issues identified</v>
      </c>
      <c r="X7" s="2"/>
      <c r="Y7" s="3"/>
      <c r="Z7" s="3"/>
      <c r="AA7" s="3"/>
      <c r="AB7" s="3"/>
      <c r="AC7" s="3"/>
    </row>
    <row r="8" spans="1:30" ht="15.75" x14ac:dyDescent="0.25">
      <c r="A8" s="4"/>
      <c r="X8" s="2"/>
    </row>
    <row r="9" spans="1:30" ht="26.25" x14ac:dyDescent="0.4">
      <c r="A9" s="41" t="s">
        <v>18</v>
      </c>
      <c r="AD9" s="19"/>
    </row>
    <row r="10" spans="1:30" x14ac:dyDescent="0.25">
      <c r="A10" s="2" t="s">
        <v>43</v>
      </c>
      <c r="B10" t="s">
        <v>58</v>
      </c>
    </row>
    <row r="11" spans="1:30" x14ac:dyDescent="0.25">
      <c r="A11" s="2" t="s">
        <v>59</v>
      </c>
      <c r="B11" s="3"/>
      <c r="C11" s="3"/>
      <c r="D11" s="3"/>
      <c r="E11" s="3"/>
      <c r="F11" s="3"/>
      <c r="G11" s="3"/>
      <c r="H11" s="3"/>
      <c r="I11" s="3"/>
      <c r="J11" s="3"/>
    </row>
    <row r="12" spans="1:30" x14ac:dyDescent="0.25">
      <c r="A12" s="2" t="s">
        <v>44</v>
      </c>
      <c r="B12" t="s">
        <v>60</v>
      </c>
    </row>
    <row r="13" spans="1:30" x14ac:dyDescent="0.25">
      <c r="A13" s="2" t="s">
        <v>61</v>
      </c>
      <c r="B13" s="3"/>
      <c r="C13" s="3"/>
      <c r="D13" s="3"/>
      <c r="E13" s="3"/>
      <c r="F13" s="3"/>
      <c r="G13" s="3"/>
      <c r="H13" s="3"/>
      <c r="I13" s="3"/>
      <c r="J13" s="3"/>
    </row>
    <row r="14" spans="1:30" x14ac:dyDescent="0.25">
      <c r="A14" s="2" t="s">
        <v>45</v>
      </c>
      <c r="B14" t="s">
        <v>62</v>
      </c>
    </row>
    <row r="15" spans="1:30" x14ac:dyDescent="0.25">
      <c r="A15" s="2" t="s">
        <v>63</v>
      </c>
      <c r="B15" s="3"/>
      <c r="C15" s="3"/>
      <c r="D15" s="3"/>
      <c r="E15" s="3"/>
      <c r="F15" s="3"/>
      <c r="G15" s="3"/>
      <c r="H15" s="3"/>
      <c r="I15" s="3"/>
      <c r="J15" s="3"/>
    </row>
    <row r="16" spans="1:30" x14ac:dyDescent="0.25">
      <c r="A16" s="2" t="s">
        <v>46</v>
      </c>
      <c r="B16" t="s">
        <v>64</v>
      </c>
    </row>
    <row r="17" spans="1:10" x14ac:dyDescent="0.25">
      <c r="A17" s="2" t="s">
        <v>65</v>
      </c>
      <c r="B17" s="3"/>
      <c r="C17" s="3"/>
      <c r="D17" s="3"/>
      <c r="E17" s="3"/>
      <c r="F17" s="3"/>
      <c r="G17" s="3"/>
      <c r="H17" s="3"/>
      <c r="I17" s="3"/>
      <c r="J17" s="3"/>
    </row>
    <row r="18" spans="1:10" x14ac:dyDescent="0.25">
      <c r="A18" s="2" t="s">
        <v>47</v>
      </c>
      <c r="B18" t="s">
        <v>66</v>
      </c>
      <c r="C18" s="3"/>
      <c r="D18" s="3"/>
      <c r="E18" s="3"/>
      <c r="F18" s="3"/>
      <c r="G18" s="3"/>
      <c r="H18" s="3"/>
      <c r="I18" s="3"/>
      <c r="J18" s="3"/>
    </row>
    <row r="19" spans="1:10" x14ac:dyDescent="0.25">
      <c r="A19" s="2" t="s">
        <v>67</v>
      </c>
      <c r="B19" s="3"/>
      <c r="C19" s="3"/>
      <c r="D19" s="3"/>
      <c r="E19" s="3"/>
      <c r="F19" s="3"/>
      <c r="G19" s="3"/>
      <c r="H19" s="3"/>
      <c r="I19" s="3"/>
      <c r="J19" s="3"/>
    </row>
    <row r="20" spans="1:10" x14ac:dyDescent="0.25">
      <c r="A20" s="2" t="s">
        <v>48</v>
      </c>
      <c r="B20" t="s">
        <v>68</v>
      </c>
      <c r="C20" s="3"/>
      <c r="D20" s="3"/>
      <c r="E20" s="3"/>
      <c r="F20" s="3"/>
      <c r="G20" s="3"/>
      <c r="H20" s="3"/>
      <c r="I20" s="3"/>
      <c r="J20" s="3"/>
    </row>
    <row r="21" spans="1:10" x14ac:dyDescent="0.25">
      <c r="A21" s="2" t="s">
        <v>69</v>
      </c>
      <c r="B21" s="3"/>
      <c r="C21" s="3"/>
      <c r="D21" s="3"/>
      <c r="E21" s="3"/>
      <c r="F21" s="3"/>
      <c r="G21" s="3"/>
      <c r="H21" s="3"/>
      <c r="I21" s="3"/>
      <c r="J21" s="3"/>
    </row>
    <row r="22" spans="1:10" x14ac:dyDescent="0.25">
      <c r="A22" s="2" t="s">
        <v>49</v>
      </c>
      <c r="B22" s="30" t="s">
        <v>70</v>
      </c>
      <c r="C22" s="3"/>
      <c r="D22" s="3"/>
      <c r="E22" s="3"/>
      <c r="F22" s="3"/>
      <c r="G22" s="3"/>
      <c r="H22" s="3"/>
      <c r="I22" s="3"/>
      <c r="J22" s="3"/>
    </row>
    <row r="23" spans="1:10" x14ac:dyDescent="0.25">
      <c r="A23" s="2" t="s">
        <v>71</v>
      </c>
      <c r="B23" s="3"/>
      <c r="C23" s="3"/>
      <c r="D23" s="3"/>
      <c r="E23" s="3"/>
      <c r="F23" s="3"/>
      <c r="G23" s="3"/>
      <c r="H23" s="3"/>
      <c r="I23" s="3"/>
      <c r="J23" s="3"/>
    </row>
    <row r="24" spans="1:10" x14ac:dyDescent="0.25">
      <c r="A24" s="2"/>
      <c r="B24" s="3"/>
      <c r="C24" s="3"/>
      <c r="D24" s="3"/>
      <c r="E24" s="3"/>
      <c r="F24" s="3"/>
      <c r="G24" s="3"/>
      <c r="H24" s="3"/>
      <c r="I24" s="3"/>
      <c r="J24" s="3"/>
    </row>
    <row r="25" spans="1:10" ht="26.25" x14ac:dyDescent="0.4">
      <c r="A25" s="41" t="s">
        <v>72</v>
      </c>
    </row>
    <row r="26" spans="1:10" x14ac:dyDescent="0.25">
      <c r="A26" s="2" t="s">
        <v>43</v>
      </c>
      <c r="B26" t="s">
        <v>73</v>
      </c>
    </row>
    <row r="27" spans="1:10" x14ac:dyDescent="0.25">
      <c r="A27" s="2"/>
      <c r="B27" t="s">
        <v>74</v>
      </c>
    </row>
    <row r="28" spans="1:10" x14ac:dyDescent="0.25">
      <c r="A28" s="2" t="s">
        <v>59</v>
      </c>
      <c r="B28" s="3" t="s">
        <v>75</v>
      </c>
      <c r="C28" s="3" t="s">
        <v>76</v>
      </c>
      <c r="D28" s="3" t="s">
        <v>77</v>
      </c>
      <c r="E28" s="3" t="s">
        <v>78</v>
      </c>
      <c r="F28" s="3" t="s">
        <v>79</v>
      </c>
      <c r="G28" s="3"/>
      <c r="H28" s="3"/>
      <c r="I28" s="3"/>
      <c r="J28" s="3"/>
    </row>
    <row r="29" spans="1:10" x14ac:dyDescent="0.25">
      <c r="A29" s="2" t="s">
        <v>44</v>
      </c>
      <c r="B29" t="s">
        <v>80</v>
      </c>
    </row>
    <row r="30" spans="1:10" x14ac:dyDescent="0.25">
      <c r="A30" s="2"/>
      <c r="B30" t="s">
        <v>81</v>
      </c>
    </row>
    <row r="31" spans="1:10" x14ac:dyDescent="0.25">
      <c r="A31" s="2" t="s">
        <v>61</v>
      </c>
      <c r="B31" s="3" t="s">
        <v>75</v>
      </c>
      <c r="C31" s="3" t="s">
        <v>76</v>
      </c>
      <c r="D31" s="3" t="s">
        <v>77</v>
      </c>
      <c r="E31" s="3" t="s">
        <v>78</v>
      </c>
      <c r="F31" s="3" t="s">
        <v>79</v>
      </c>
      <c r="G31" s="3"/>
      <c r="H31" s="3"/>
      <c r="I31" s="3"/>
      <c r="J31" s="3"/>
    </row>
    <row r="32" spans="1:10" x14ac:dyDescent="0.25">
      <c r="A32" s="2" t="s">
        <v>45</v>
      </c>
      <c r="B32" t="s">
        <v>82</v>
      </c>
    </row>
    <row r="33" spans="1:10" x14ac:dyDescent="0.25">
      <c r="A33" s="2"/>
      <c r="B33" t="s">
        <v>83</v>
      </c>
    </row>
    <row r="34" spans="1:10" x14ac:dyDescent="0.25">
      <c r="A34" s="2" t="s">
        <v>63</v>
      </c>
      <c r="B34" s="3" t="s">
        <v>75</v>
      </c>
      <c r="C34" s="3" t="s">
        <v>76</v>
      </c>
      <c r="D34" s="3" t="s">
        <v>77</v>
      </c>
      <c r="E34" s="3" t="s">
        <v>78</v>
      </c>
      <c r="F34" s="3" t="s">
        <v>79</v>
      </c>
      <c r="G34" s="3"/>
      <c r="H34" s="3"/>
      <c r="I34" s="3"/>
      <c r="J34" s="3"/>
    </row>
    <row r="35" spans="1:10" x14ac:dyDescent="0.25">
      <c r="A35" s="2" t="s">
        <v>46</v>
      </c>
      <c r="B35" t="s">
        <v>84</v>
      </c>
    </row>
    <row r="36" spans="1:10" x14ac:dyDescent="0.25">
      <c r="A36" s="2" t="s">
        <v>65</v>
      </c>
      <c r="B36" s="3" t="s">
        <v>75</v>
      </c>
      <c r="C36" s="3" t="s">
        <v>76</v>
      </c>
      <c r="D36" s="3" t="s">
        <v>77</v>
      </c>
      <c r="E36" s="3" t="s">
        <v>78</v>
      </c>
      <c r="F36" s="3" t="s">
        <v>79</v>
      </c>
      <c r="G36" s="3"/>
      <c r="H36" s="3"/>
      <c r="I36" s="3"/>
      <c r="J36" s="3"/>
    </row>
    <row r="37" spans="1:10" x14ac:dyDescent="0.25">
      <c r="A37" s="7" t="s">
        <v>47</v>
      </c>
      <c r="B37" t="s">
        <v>85</v>
      </c>
    </row>
    <row r="38" spans="1:10" x14ac:dyDescent="0.25">
      <c r="A38" s="7"/>
      <c r="B38" t="s">
        <v>86</v>
      </c>
    </row>
    <row r="39" spans="1:10" x14ac:dyDescent="0.25">
      <c r="A39" s="7" t="s">
        <v>67</v>
      </c>
      <c r="B39" s="3" t="s">
        <v>75</v>
      </c>
      <c r="C39" s="3" t="s">
        <v>76</v>
      </c>
      <c r="D39" s="3" t="s">
        <v>77</v>
      </c>
      <c r="E39" s="3" t="s">
        <v>78</v>
      </c>
      <c r="F39" s="3" t="s">
        <v>79</v>
      </c>
      <c r="G39" s="3"/>
      <c r="H39" s="3"/>
      <c r="I39" s="3"/>
      <c r="J39" s="3"/>
    </row>
    <row r="40" spans="1:10" x14ac:dyDescent="0.25">
      <c r="A40" s="7" t="s">
        <v>48</v>
      </c>
      <c r="B40" t="s">
        <v>87</v>
      </c>
    </row>
    <row r="41" spans="1:10" x14ac:dyDescent="0.25">
      <c r="A41" s="7"/>
      <c r="B41" t="s">
        <v>88</v>
      </c>
    </row>
    <row r="42" spans="1:10" x14ac:dyDescent="0.25">
      <c r="A42" s="7" t="s">
        <v>69</v>
      </c>
      <c r="B42" s="3" t="s">
        <v>75</v>
      </c>
      <c r="C42" s="3" t="s">
        <v>76</v>
      </c>
      <c r="D42" s="3" t="s">
        <v>77</v>
      </c>
      <c r="E42" s="3" t="s">
        <v>78</v>
      </c>
      <c r="F42" s="3" t="s">
        <v>79</v>
      </c>
      <c r="G42" s="3"/>
      <c r="H42" s="3"/>
      <c r="I42" s="3"/>
      <c r="J42" s="3"/>
    </row>
    <row r="43" spans="1:10" x14ac:dyDescent="0.25">
      <c r="A43" s="7" t="s">
        <v>49</v>
      </c>
      <c r="B43" t="s">
        <v>89</v>
      </c>
    </row>
    <row r="44" spans="1:10" x14ac:dyDescent="0.25">
      <c r="A44" s="7"/>
      <c r="B44" t="s">
        <v>90</v>
      </c>
    </row>
    <row r="45" spans="1:10" x14ac:dyDescent="0.25">
      <c r="A45" s="7" t="s">
        <v>71</v>
      </c>
      <c r="B45" s="3" t="s">
        <v>75</v>
      </c>
      <c r="C45" s="3" t="s">
        <v>76</v>
      </c>
      <c r="D45" s="3" t="s">
        <v>77</v>
      </c>
      <c r="E45" s="3" t="s">
        <v>78</v>
      </c>
      <c r="F45" s="3" t="s">
        <v>79</v>
      </c>
      <c r="G45" s="3"/>
      <c r="H45" s="3"/>
      <c r="I45" s="3"/>
      <c r="J45" s="3"/>
    </row>
    <row r="47" spans="1:10" ht="26.25" x14ac:dyDescent="0.4">
      <c r="A47" s="41" t="s">
        <v>91</v>
      </c>
    </row>
    <row r="48" spans="1:10" x14ac:dyDescent="0.25">
      <c r="A48" s="2" t="s">
        <v>43</v>
      </c>
      <c r="B48" t="s">
        <v>92</v>
      </c>
    </row>
    <row r="49" spans="1:26" x14ac:dyDescent="0.25">
      <c r="A49" s="2" t="s">
        <v>59</v>
      </c>
      <c r="B49" s="3" t="s">
        <v>75</v>
      </c>
      <c r="C49" s="3" t="s">
        <v>76</v>
      </c>
      <c r="D49" s="3" t="s">
        <v>77</v>
      </c>
      <c r="E49" s="3" t="s">
        <v>78</v>
      </c>
      <c r="F49" s="3" t="s">
        <v>79</v>
      </c>
      <c r="G49" s="3"/>
      <c r="H49" s="3"/>
      <c r="I49" s="3"/>
      <c r="J49" s="3"/>
    </row>
    <row r="50" spans="1:26" x14ac:dyDescent="0.25">
      <c r="A50" s="2" t="s">
        <v>44</v>
      </c>
      <c r="B50" t="s">
        <v>101</v>
      </c>
    </row>
    <row r="51" spans="1:26" x14ac:dyDescent="0.25">
      <c r="A51" s="2" t="s">
        <v>61</v>
      </c>
      <c r="B51" s="3" t="s">
        <v>75</v>
      </c>
      <c r="C51" s="3" t="s">
        <v>76</v>
      </c>
      <c r="D51" s="3" t="s">
        <v>77</v>
      </c>
      <c r="E51" s="3" t="s">
        <v>78</v>
      </c>
      <c r="F51" s="3" t="s">
        <v>79</v>
      </c>
      <c r="G51" s="3"/>
      <c r="H51" s="3"/>
      <c r="I51" s="3"/>
      <c r="J51" s="3"/>
    </row>
    <row r="52" spans="1:26" x14ac:dyDescent="0.25">
      <c r="A52" s="2" t="s">
        <v>45</v>
      </c>
      <c r="B52" t="s">
        <v>100</v>
      </c>
    </row>
    <row r="53" spans="1:26" x14ac:dyDescent="0.25">
      <c r="A53" s="2" t="s">
        <v>63</v>
      </c>
      <c r="B53" s="3" t="s">
        <v>75</v>
      </c>
      <c r="C53" s="3" t="s">
        <v>76</v>
      </c>
      <c r="D53" s="3" t="s">
        <v>77</v>
      </c>
      <c r="E53" s="3" t="s">
        <v>78</v>
      </c>
      <c r="F53" s="3" t="s">
        <v>79</v>
      </c>
      <c r="G53" s="3"/>
      <c r="H53" s="3"/>
      <c r="I53" s="3"/>
      <c r="J53" s="3"/>
    </row>
    <row r="54" spans="1:26" x14ac:dyDescent="0.25">
      <c r="A54" s="2" t="s">
        <v>46</v>
      </c>
      <c r="B54" t="s">
        <v>102</v>
      </c>
    </row>
    <row r="55" spans="1:26" x14ac:dyDescent="0.25">
      <c r="A55" s="2" t="s">
        <v>65</v>
      </c>
      <c r="B55" s="3" t="s">
        <v>75</v>
      </c>
      <c r="C55" s="3" t="s">
        <v>76</v>
      </c>
      <c r="D55" s="3" t="s">
        <v>77</v>
      </c>
      <c r="E55" s="3" t="s">
        <v>78</v>
      </c>
      <c r="F55" s="3" t="s">
        <v>79</v>
      </c>
      <c r="G55" s="3"/>
      <c r="H55" s="3"/>
      <c r="I55" s="3"/>
      <c r="J55" s="3"/>
    </row>
    <row r="57" spans="1:26" ht="26.25" x14ac:dyDescent="0.4">
      <c r="A57" s="42" t="s">
        <v>93</v>
      </c>
      <c r="B57" s="6"/>
      <c r="C57" s="6"/>
      <c r="D57" s="6"/>
      <c r="E57" s="6"/>
      <c r="F57" s="6"/>
      <c r="G57" s="6"/>
      <c r="H57" s="6"/>
      <c r="I57" s="6"/>
      <c r="J57" s="6"/>
      <c r="K57" s="6"/>
      <c r="L57" s="6"/>
      <c r="M57" s="6"/>
      <c r="N57" s="6"/>
      <c r="O57" s="6"/>
      <c r="P57" s="6"/>
      <c r="Q57" s="6"/>
      <c r="R57" s="6"/>
      <c r="S57" s="6"/>
      <c r="T57" s="6"/>
    </row>
    <row r="58" spans="1:26" x14ac:dyDescent="0.25">
      <c r="A58" s="2" t="s">
        <v>43</v>
      </c>
      <c r="B58" t="s">
        <v>94</v>
      </c>
      <c r="Y58" s="5"/>
      <c r="Z58" s="5"/>
    </row>
    <row r="59" spans="1:26" x14ac:dyDescent="0.25">
      <c r="A59" s="2" t="s">
        <v>59</v>
      </c>
      <c r="B59" s="3" t="s">
        <v>75</v>
      </c>
      <c r="C59" s="3" t="s">
        <v>76</v>
      </c>
      <c r="D59" s="3" t="s">
        <v>77</v>
      </c>
      <c r="E59" s="3" t="s">
        <v>78</v>
      </c>
      <c r="F59" s="3" t="s">
        <v>79</v>
      </c>
      <c r="G59" s="3"/>
      <c r="H59" s="3"/>
      <c r="I59" s="3"/>
      <c r="J59" s="3"/>
      <c r="Y59" s="5"/>
      <c r="Z59" s="5"/>
    </row>
    <row r="60" spans="1:26" x14ac:dyDescent="0.25">
      <c r="A60" s="7" t="s">
        <v>44</v>
      </c>
      <c r="B60" s="6" t="s">
        <v>95</v>
      </c>
      <c r="C60" s="6"/>
      <c r="D60" s="6"/>
      <c r="E60" s="6"/>
      <c r="F60" s="6"/>
      <c r="G60" s="6"/>
      <c r="H60" s="6"/>
      <c r="I60" s="6"/>
      <c r="J60" s="6"/>
      <c r="K60" s="6"/>
      <c r="L60" s="6"/>
      <c r="M60" s="6"/>
      <c r="N60" s="6"/>
      <c r="O60" s="6"/>
      <c r="P60" s="6"/>
      <c r="Q60" s="6"/>
      <c r="R60" s="6"/>
      <c r="S60" s="6"/>
      <c r="T60" s="6"/>
    </row>
    <row r="61" spans="1:26" x14ac:dyDescent="0.25">
      <c r="A61" s="7"/>
      <c r="B61" s="6" t="s">
        <v>96</v>
      </c>
      <c r="C61" s="6"/>
      <c r="D61" s="6"/>
      <c r="E61" s="6"/>
      <c r="F61" s="6"/>
      <c r="G61" s="6"/>
      <c r="H61" s="6"/>
      <c r="I61" s="6"/>
      <c r="J61" s="6"/>
      <c r="K61" s="6"/>
      <c r="L61" s="6"/>
      <c r="M61" s="6"/>
      <c r="N61" s="6"/>
      <c r="O61" s="6"/>
      <c r="P61" s="6"/>
      <c r="Q61" s="6"/>
      <c r="R61" s="6"/>
      <c r="S61" s="6"/>
      <c r="T61" s="6"/>
    </row>
    <row r="62" spans="1:26" x14ac:dyDescent="0.25">
      <c r="A62" s="7" t="s">
        <v>61</v>
      </c>
      <c r="B62" s="20" t="s">
        <v>75</v>
      </c>
      <c r="C62" s="20" t="s">
        <v>76</v>
      </c>
      <c r="D62" s="20" t="s">
        <v>77</v>
      </c>
      <c r="E62" s="20" t="s">
        <v>78</v>
      </c>
      <c r="F62" s="20" t="s">
        <v>79</v>
      </c>
      <c r="G62" s="20"/>
      <c r="H62" s="20"/>
      <c r="I62" s="20"/>
      <c r="J62" s="20"/>
      <c r="K62" s="6"/>
      <c r="L62" s="6"/>
      <c r="M62" s="6"/>
      <c r="N62" s="6"/>
      <c r="O62" s="6"/>
      <c r="P62" s="6"/>
      <c r="Q62" s="6"/>
      <c r="R62" s="6"/>
      <c r="S62" s="6"/>
      <c r="T62" s="6"/>
    </row>
    <row r="63" spans="1:26" x14ac:dyDescent="0.25">
      <c r="A63" s="2" t="s">
        <v>45</v>
      </c>
      <c r="B63" t="s">
        <v>97</v>
      </c>
    </row>
    <row r="64" spans="1:26" x14ac:dyDescent="0.25">
      <c r="A64" s="2" t="s">
        <v>63</v>
      </c>
      <c r="B64" s="3" t="s">
        <v>75</v>
      </c>
      <c r="C64" s="3" t="s">
        <v>76</v>
      </c>
      <c r="D64" s="3" t="s">
        <v>77</v>
      </c>
      <c r="E64" s="3" t="s">
        <v>78</v>
      </c>
      <c r="F64" s="3" t="s">
        <v>79</v>
      </c>
      <c r="G64" s="3"/>
      <c r="H64" s="3"/>
      <c r="I64" s="3"/>
      <c r="J64" s="3"/>
    </row>
    <row r="65" spans="1:10" x14ac:dyDescent="0.25">
      <c r="A65" s="2" t="s">
        <v>46</v>
      </c>
      <c r="B65" t="s">
        <v>98</v>
      </c>
    </row>
    <row r="66" spans="1:10" x14ac:dyDescent="0.25">
      <c r="A66" s="2" t="s">
        <v>65</v>
      </c>
      <c r="B66" s="3" t="s">
        <v>75</v>
      </c>
      <c r="C66" s="3" t="s">
        <v>76</v>
      </c>
      <c r="D66" s="3" t="s">
        <v>77</v>
      </c>
      <c r="E66" s="3" t="s">
        <v>78</v>
      </c>
      <c r="F66" s="3" t="s">
        <v>79</v>
      </c>
      <c r="G66" s="3"/>
      <c r="H66" s="3"/>
      <c r="I66" s="3"/>
      <c r="J66" s="3"/>
    </row>
  </sheetData>
  <phoneticPr fontId="18"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8" r:id="rId4" name="Button1">
              <controlPr defaultSize="0" print="0" autoFill="0" autoPict="0" macro="[0]!Button1_Click">
                <anchor moveWithCells="1">
                  <from>
                    <xdr:col>1</xdr:col>
                    <xdr:colOff>9525</xdr:colOff>
                    <xdr:row>10</xdr:row>
                    <xdr:rowOff>9525</xdr:rowOff>
                  </from>
                  <to>
                    <xdr:col>2</xdr:col>
                    <xdr:colOff>0</xdr:colOff>
                    <xdr:row>11</xdr:row>
                    <xdr:rowOff>28575</xdr:rowOff>
                  </to>
                </anchor>
              </controlPr>
            </control>
          </mc:Choice>
        </mc:AlternateContent>
        <mc:AlternateContent xmlns:mc="http://schemas.openxmlformats.org/markup-compatibility/2006">
          <mc:Choice Requires="x14">
            <control shapeId="1069" r:id="rId5" name="Button 45">
              <controlPr defaultSize="0" print="0" autoFill="0" autoPict="0" macro="[0]!Button2_Click">
                <anchor moveWithCells="1">
                  <from>
                    <xdr:col>1</xdr:col>
                    <xdr:colOff>600075</xdr:colOff>
                    <xdr:row>9</xdr:row>
                    <xdr:rowOff>171450</xdr:rowOff>
                  </from>
                  <to>
                    <xdr:col>3</xdr:col>
                    <xdr:colOff>47625</xdr:colOff>
                    <xdr:row>11</xdr:row>
                    <xdr:rowOff>28575</xdr:rowOff>
                  </to>
                </anchor>
              </controlPr>
            </control>
          </mc:Choice>
        </mc:AlternateContent>
        <mc:AlternateContent xmlns:mc="http://schemas.openxmlformats.org/markup-compatibility/2006">
          <mc:Choice Requires="x14">
            <control shapeId="1070" r:id="rId6" name="Button 46">
              <controlPr defaultSize="0" print="0" autoFill="0" autoPict="0" macro="[0]!Button3_Click">
                <anchor moveWithCells="1">
                  <from>
                    <xdr:col>3</xdr:col>
                    <xdr:colOff>57150</xdr:colOff>
                    <xdr:row>9</xdr:row>
                    <xdr:rowOff>171450</xdr:rowOff>
                  </from>
                  <to>
                    <xdr:col>4</xdr:col>
                    <xdr:colOff>0</xdr:colOff>
                    <xdr:row>11</xdr:row>
                    <xdr:rowOff>19050</xdr:rowOff>
                  </to>
                </anchor>
              </controlPr>
            </control>
          </mc:Choice>
        </mc:AlternateContent>
        <mc:AlternateContent xmlns:mc="http://schemas.openxmlformats.org/markup-compatibility/2006">
          <mc:Choice Requires="x14">
            <control shapeId="1071" r:id="rId7" name="Button 47">
              <controlPr defaultSize="0" print="0" autoFill="0" autoPict="0" macro="[0]!Button4_Click">
                <anchor moveWithCells="1">
                  <from>
                    <xdr:col>4</xdr:col>
                    <xdr:colOff>28575</xdr:colOff>
                    <xdr:row>9</xdr:row>
                    <xdr:rowOff>171450</xdr:rowOff>
                  </from>
                  <to>
                    <xdr:col>4</xdr:col>
                    <xdr:colOff>600075</xdr:colOff>
                    <xdr:row>11</xdr:row>
                    <xdr:rowOff>0</xdr:rowOff>
                  </to>
                </anchor>
              </controlPr>
            </control>
          </mc:Choice>
        </mc:AlternateContent>
        <mc:AlternateContent xmlns:mc="http://schemas.openxmlformats.org/markup-compatibility/2006">
          <mc:Choice Requires="x14">
            <control shapeId="1072" r:id="rId8" name="Button 48">
              <controlPr defaultSize="0" print="0" autoFill="0" autoPict="0" macro="[0]!Button5_Click">
                <anchor moveWithCells="1">
                  <from>
                    <xdr:col>4</xdr:col>
                    <xdr:colOff>600075</xdr:colOff>
                    <xdr:row>9</xdr:row>
                    <xdr:rowOff>161925</xdr:rowOff>
                  </from>
                  <to>
                    <xdr:col>6</xdr:col>
                    <xdr:colOff>171450</xdr:colOff>
                    <xdr:row>11</xdr:row>
                    <xdr:rowOff>0</xdr:rowOff>
                  </to>
                </anchor>
              </controlPr>
            </control>
          </mc:Choice>
        </mc:AlternateContent>
        <mc:AlternateContent xmlns:mc="http://schemas.openxmlformats.org/markup-compatibility/2006">
          <mc:Choice Requires="x14">
            <control shapeId="1074" r:id="rId9" name="Button 50">
              <controlPr defaultSize="0" print="0" autoFill="0" autoPict="0" macro="[0]!Button7_Click">
                <anchor moveWithCells="1">
                  <from>
                    <xdr:col>2</xdr:col>
                    <xdr:colOff>19050</xdr:colOff>
                    <xdr:row>11</xdr:row>
                    <xdr:rowOff>161925</xdr:rowOff>
                  </from>
                  <to>
                    <xdr:col>3</xdr:col>
                    <xdr:colOff>28575</xdr:colOff>
                    <xdr:row>13</xdr:row>
                    <xdr:rowOff>28575</xdr:rowOff>
                  </to>
                </anchor>
              </controlPr>
            </control>
          </mc:Choice>
        </mc:AlternateContent>
        <mc:AlternateContent xmlns:mc="http://schemas.openxmlformats.org/markup-compatibility/2006">
          <mc:Choice Requires="x14">
            <control shapeId="1075" r:id="rId10" name="Button 51">
              <controlPr defaultSize="0" print="0" autoFill="0" autoPict="0" macro="[0]!Button8_Click">
                <anchor moveWithCells="1">
                  <from>
                    <xdr:col>3</xdr:col>
                    <xdr:colOff>28575</xdr:colOff>
                    <xdr:row>11</xdr:row>
                    <xdr:rowOff>171450</xdr:rowOff>
                  </from>
                  <to>
                    <xdr:col>4</xdr:col>
                    <xdr:colOff>0</xdr:colOff>
                    <xdr:row>13</xdr:row>
                    <xdr:rowOff>28575</xdr:rowOff>
                  </to>
                </anchor>
              </controlPr>
            </control>
          </mc:Choice>
        </mc:AlternateContent>
        <mc:AlternateContent xmlns:mc="http://schemas.openxmlformats.org/markup-compatibility/2006">
          <mc:Choice Requires="x14">
            <control shapeId="1076" r:id="rId11" name="Button 52">
              <controlPr defaultSize="0" print="0" autoFill="0" autoPict="0" macro="[0]!Button9_Click">
                <anchor moveWithCells="1">
                  <from>
                    <xdr:col>4</xdr:col>
                    <xdr:colOff>57150</xdr:colOff>
                    <xdr:row>11</xdr:row>
                    <xdr:rowOff>180975</xdr:rowOff>
                  </from>
                  <to>
                    <xdr:col>5</xdr:col>
                    <xdr:colOff>57150</xdr:colOff>
                    <xdr:row>13</xdr:row>
                    <xdr:rowOff>38100</xdr:rowOff>
                  </to>
                </anchor>
              </controlPr>
            </control>
          </mc:Choice>
        </mc:AlternateContent>
        <mc:AlternateContent xmlns:mc="http://schemas.openxmlformats.org/markup-compatibility/2006">
          <mc:Choice Requires="x14">
            <control shapeId="1077" r:id="rId12" name="Button 53">
              <controlPr defaultSize="0" print="0" autoFill="0" autoPict="0" macro="[0]!Button10_Click">
                <anchor moveWithCells="1">
                  <from>
                    <xdr:col>5</xdr:col>
                    <xdr:colOff>57150</xdr:colOff>
                    <xdr:row>11</xdr:row>
                    <xdr:rowOff>171450</xdr:rowOff>
                  </from>
                  <to>
                    <xdr:col>6</xdr:col>
                    <xdr:colOff>200025</xdr:colOff>
                    <xdr:row>13</xdr:row>
                    <xdr:rowOff>19050</xdr:rowOff>
                  </to>
                </anchor>
              </controlPr>
            </control>
          </mc:Choice>
        </mc:AlternateContent>
        <mc:AlternateContent xmlns:mc="http://schemas.openxmlformats.org/markup-compatibility/2006">
          <mc:Choice Requires="x14">
            <control shapeId="1078" r:id="rId13" name="Button 54">
              <controlPr defaultSize="0" print="0" autoFill="0" autoPict="0" macro="[0]!Button11_Click">
                <anchor moveWithCells="1">
                  <from>
                    <xdr:col>0</xdr:col>
                    <xdr:colOff>885825</xdr:colOff>
                    <xdr:row>13</xdr:row>
                    <xdr:rowOff>180975</xdr:rowOff>
                  </from>
                  <to>
                    <xdr:col>1</xdr:col>
                    <xdr:colOff>600075</xdr:colOff>
                    <xdr:row>15</xdr:row>
                    <xdr:rowOff>0</xdr:rowOff>
                  </to>
                </anchor>
              </controlPr>
            </control>
          </mc:Choice>
        </mc:AlternateContent>
        <mc:AlternateContent xmlns:mc="http://schemas.openxmlformats.org/markup-compatibility/2006">
          <mc:Choice Requires="x14">
            <control shapeId="1079" r:id="rId14" name="Button 55">
              <controlPr defaultSize="0" print="0" autoFill="0" autoPict="0" macro="[0]!Button12_Click">
                <anchor moveWithCells="1">
                  <from>
                    <xdr:col>1</xdr:col>
                    <xdr:colOff>600075</xdr:colOff>
                    <xdr:row>13</xdr:row>
                    <xdr:rowOff>180975</xdr:rowOff>
                  </from>
                  <to>
                    <xdr:col>3</xdr:col>
                    <xdr:colOff>9525</xdr:colOff>
                    <xdr:row>15</xdr:row>
                    <xdr:rowOff>9525</xdr:rowOff>
                  </to>
                </anchor>
              </controlPr>
            </control>
          </mc:Choice>
        </mc:AlternateContent>
        <mc:AlternateContent xmlns:mc="http://schemas.openxmlformats.org/markup-compatibility/2006">
          <mc:Choice Requires="x14">
            <control shapeId="1080" r:id="rId15" name="Button 56">
              <controlPr defaultSize="0" print="0" autoFill="0" autoPict="0" macro="[0]!Button13_Click">
                <anchor moveWithCells="1">
                  <from>
                    <xdr:col>3</xdr:col>
                    <xdr:colOff>28575</xdr:colOff>
                    <xdr:row>13</xdr:row>
                    <xdr:rowOff>180975</xdr:rowOff>
                  </from>
                  <to>
                    <xdr:col>4</xdr:col>
                    <xdr:colOff>0</xdr:colOff>
                    <xdr:row>15</xdr:row>
                    <xdr:rowOff>0</xdr:rowOff>
                  </to>
                </anchor>
              </controlPr>
            </control>
          </mc:Choice>
        </mc:AlternateContent>
        <mc:AlternateContent xmlns:mc="http://schemas.openxmlformats.org/markup-compatibility/2006">
          <mc:Choice Requires="x14">
            <control shapeId="1081" r:id="rId16" name="Button 57">
              <controlPr defaultSize="0" print="0" autoFill="0" autoPict="0" macro="[0]!Button14_Click">
                <anchor moveWithCells="1">
                  <from>
                    <xdr:col>4</xdr:col>
                    <xdr:colOff>38100</xdr:colOff>
                    <xdr:row>13</xdr:row>
                    <xdr:rowOff>180975</xdr:rowOff>
                  </from>
                  <to>
                    <xdr:col>5</xdr:col>
                    <xdr:colOff>38100</xdr:colOff>
                    <xdr:row>15</xdr:row>
                    <xdr:rowOff>9525</xdr:rowOff>
                  </to>
                </anchor>
              </controlPr>
            </control>
          </mc:Choice>
        </mc:AlternateContent>
        <mc:AlternateContent xmlns:mc="http://schemas.openxmlformats.org/markup-compatibility/2006">
          <mc:Choice Requires="x14">
            <control shapeId="1082" r:id="rId17" name="Button 58">
              <controlPr defaultSize="0" print="0" autoFill="0" autoPict="0" macro="[0]!Button15_Click">
                <anchor moveWithCells="1">
                  <from>
                    <xdr:col>5</xdr:col>
                    <xdr:colOff>57150</xdr:colOff>
                    <xdr:row>13</xdr:row>
                    <xdr:rowOff>180975</xdr:rowOff>
                  </from>
                  <to>
                    <xdr:col>6</xdr:col>
                    <xdr:colOff>200025</xdr:colOff>
                    <xdr:row>14</xdr:row>
                    <xdr:rowOff>180975</xdr:rowOff>
                  </to>
                </anchor>
              </controlPr>
            </control>
          </mc:Choice>
        </mc:AlternateContent>
        <mc:AlternateContent xmlns:mc="http://schemas.openxmlformats.org/markup-compatibility/2006">
          <mc:Choice Requires="x14">
            <control shapeId="1084" r:id="rId18" name="Button 60">
              <controlPr defaultSize="0" print="0" autoFill="0" autoPict="0" macro="[0]!Button17_Click">
                <anchor moveWithCells="1">
                  <from>
                    <xdr:col>2</xdr:col>
                    <xdr:colOff>9525</xdr:colOff>
                    <xdr:row>16</xdr:row>
                    <xdr:rowOff>0</xdr:rowOff>
                  </from>
                  <to>
                    <xdr:col>3</xdr:col>
                    <xdr:colOff>9525</xdr:colOff>
                    <xdr:row>17</xdr:row>
                    <xdr:rowOff>28575</xdr:rowOff>
                  </to>
                </anchor>
              </controlPr>
            </control>
          </mc:Choice>
        </mc:AlternateContent>
        <mc:AlternateContent xmlns:mc="http://schemas.openxmlformats.org/markup-compatibility/2006">
          <mc:Choice Requires="x14">
            <control shapeId="1085" r:id="rId19" name="Button 61">
              <controlPr defaultSize="0" print="0" autoFill="0" autoPict="0" macro="[0]!Button18_Click">
                <anchor moveWithCells="1">
                  <from>
                    <xdr:col>3</xdr:col>
                    <xdr:colOff>28575</xdr:colOff>
                    <xdr:row>15</xdr:row>
                    <xdr:rowOff>180975</xdr:rowOff>
                  </from>
                  <to>
                    <xdr:col>4</xdr:col>
                    <xdr:colOff>0</xdr:colOff>
                    <xdr:row>17</xdr:row>
                    <xdr:rowOff>28575</xdr:rowOff>
                  </to>
                </anchor>
              </controlPr>
            </control>
          </mc:Choice>
        </mc:AlternateContent>
        <mc:AlternateContent xmlns:mc="http://schemas.openxmlformats.org/markup-compatibility/2006">
          <mc:Choice Requires="x14">
            <control shapeId="1086" r:id="rId20" name="Button 62">
              <controlPr defaultSize="0" print="0" autoFill="0" autoPict="0" macro="[0]!Button19_Click">
                <anchor moveWithCells="1">
                  <from>
                    <xdr:col>4</xdr:col>
                    <xdr:colOff>28575</xdr:colOff>
                    <xdr:row>16</xdr:row>
                    <xdr:rowOff>0</xdr:rowOff>
                  </from>
                  <to>
                    <xdr:col>5</xdr:col>
                    <xdr:colOff>28575</xdr:colOff>
                    <xdr:row>17</xdr:row>
                    <xdr:rowOff>28575</xdr:rowOff>
                  </to>
                </anchor>
              </controlPr>
            </control>
          </mc:Choice>
        </mc:AlternateContent>
        <mc:AlternateContent xmlns:mc="http://schemas.openxmlformats.org/markup-compatibility/2006">
          <mc:Choice Requires="x14">
            <control shapeId="1087" r:id="rId21" name="Button 63">
              <controlPr defaultSize="0" print="0" autoFill="0" autoPict="0" macro="[0]!Button20_Click">
                <anchor moveWithCells="1">
                  <from>
                    <xdr:col>5</xdr:col>
                    <xdr:colOff>47625</xdr:colOff>
                    <xdr:row>15</xdr:row>
                    <xdr:rowOff>180975</xdr:rowOff>
                  </from>
                  <to>
                    <xdr:col>6</xdr:col>
                    <xdr:colOff>190500</xdr:colOff>
                    <xdr:row>17</xdr:row>
                    <xdr:rowOff>28575</xdr:rowOff>
                  </to>
                </anchor>
              </controlPr>
            </control>
          </mc:Choice>
        </mc:AlternateContent>
        <mc:AlternateContent xmlns:mc="http://schemas.openxmlformats.org/markup-compatibility/2006">
          <mc:Choice Requires="x14">
            <control shapeId="1089" r:id="rId22" name="Button 65">
              <controlPr defaultSize="0" print="0" autoFill="0" autoPict="0" macro="[0]!Button21_Click">
                <anchor moveWithCells="1">
                  <from>
                    <xdr:col>0</xdr:col>
                    <xdr:colOff>866775</xdr:colOff>
                    <xdr:row>27</xdr:row>
                    <xdr:rowOff>0</xdr:rowOff>
                  </from>
                  <to>
                    <xdr:col>1</xdr:col>
                    <xdr:colOff>590550</xdr:colOff>
                    <xdr:row>28</xdr:row>
                    <xdr:rowOff>0</xdr:rowOff>
                  </to>
                </anchor>
              </controlPr>
            </control>
          </mc:Choice>
        </mc:AlternateContent>
        <mc:AlternateContent xmlns:mc="http://schemas.openxmlformats.org/markup-compatibility/2006">
          <mc:Choice Requires="x14">
            <control shapeId="1090" r:id="rId23" name="Button 66">
              <controlPr defaultSize="0" print="0" autoFill="0" autoPict="0" macro="[0]!Button22_Click">
                <anchor moveWithCells="1">
                  <from>
                    <xdr:col>2</xdr:col>
                    <xdr:colOff>0</xdr:colOff>
                    <xdr:row>26</xdr:row>
                    <xdr:rowOff>171450</xdr:rowOff>
                  </from>
                  <to>
                    <xdr:col>3</xdr:col>
                    <xdr:colOff>0</xdr:colOff>
                    <xdr:row>28</xdr:row>
                    <xdr:rowOff>9525</xdr:rowOff>
                  </to>
                </anchor>
              </controlPr>
            </control>
          </mc:Choice>
        </mc:AlternateContent>
        <mc:AlternateContent xmlns:mc="http://schemas.openxmlformats.org/markup-compatibility/2006">
          <mc:Choice Requires="x14">
            <control shapeId="1091" r:id="rId24" name="Button 67">
              <controlPr defaultSize="0" print="0" autoFill="0" autoPict="0" macro="[0]!Button23_Click">
                <anchor moveWithCells="1">
                  <from>
                    <xdr:col>3</xdr:col>
                    <xdr:colOff>19050</xdr:colOff>
                    <xdr:row>26</xdr:row>
                    <xdr:rowOff>161925</xdr:rowOff>
                  </from>
                  <to>
                    <xdr:col>3</xdr:col>
                    <xdr:colOff>619125</xdr:colOff>
                    <xdr:row>28</xdr:row>
                    <xdr:rowOff>9525</xdr:rowOff>
                  </to>
                </anchor>
              </controlPr>
            </control>
          </mc:Choice>
        </mc:AlternateContent>
        <mc:AlternateContent xmlns:mc="http://schemas.openxmlformats.org/markup-compatibility/2006">
          <mc:Choice Requires="x14">
            <control shapeId="1095" r:id="rId25" name="Button 71">
              <controlPr defaultSize="0" print="0" autoFill="0" autoPict="0" macro="[0]!Button24_Click">
                <anchor moveWithCells="1">
                  <from>
                    <xdr:col>4</xdr:col>
                    <xdr:colOff>0</xdr:colOff>
                    <xdr:row>26</xdr:row>
                    <xdr:rowOff>180975</xdr:rowOff>
                  </from>
                  <to>
                    <xdr:col>5</xdr:col>
                    <xdr:colOff>0</xdr:colOff>
                    <xdr:row>28</xdr:row>
                    <xdr:rowOff>19050</xdr:rowOff>
                  </to>
                </anchor>
              </controlPr>
            </control>
          </mc:Choice>
        </mc:AlternateContent>
        <mc:AlternateContent xmlns:mc="http://schemas.openxmlformats.org/markup-compatibility/2006">
          <mc:Choice Requires="x14">
            <control shapeId="1096" r:id="rId26" name="Button 72">
              <controlPr defaultSize="0" print="0" autoFill="0" autoPict="0" macro="[0]!Button25_Click">
                <anchor moveWithCells="1">
                  <from>
                    <xdr:col>5</xdr:col>
                    <xdr:colOff>19050</xdr:colOff>
                    <xdr:row>26</xdr:row>
                    <xdr:rowOff>171450</xdr:rowOff>
                  </from>
                  <to>
                    <xdr:col>6</xdr:col>
                    <xdr:colOff>161925</xdr:colOff>
                    <xdr:row>28</xdr:row>
                    <xdr:rowOff>19050</xdr:rowOff>
                  </to>
                </anchor>
              </controlPr>
            </control>
          </mc:Choice>
        </mc:AlternateContent>
        <mc:AlternateContent xmlns:mc="http://schemas.openxmlformats.org/markup-compatibility/2006">
          <mc:Choice Requires="x14">
            <control shapeId="1097" r:id="rId27" name="Button 73">
              <controlPr defaultSize="0" print="0" autoFill="0" autoPict="0" macro="[0]!Button26_Click">
                <anchor moveWithCells="1">
                  <from>
                    <xdr:col>0</xdr:col>
                    <xdr:colOff>866775</xdr:colOff>
                    <xdr:row>30</xdr:row>
                    <xdr:rowOff>0</xdr:rowOff>
                  </from>
                  <to>
                    <xdr:col>1</xdr:col>
                    <xdr:colOff>590550</xdr:colOff>
                    <xdr:row>31</xdr:row>
                    <xdr:rowOff>0</xdr:rowOff>
                  </to>
                </anchor>
              </controlPr>
            </control>
          </mc:Choice>
        </mc:AlternateContent>
        <mc:AlternateContent xmlns:mc="http://schemas.openxmlformats.org/markup-compatibility/2006">
          <mc:Choice Requires="x14">
            <control shapeId="1098" r:id="rId28" name="Button 74">
              <controlPr defaultSize="0" print="0" autoFill="0" autoPict="0" macro="[0]!Button27_Click">
                <anchor moveWithCells="1">
                  <from>
                    <xdr:col>2</xdr:col>
                    <xdr:colOff>0</xdr:colOff>
                    <xdr:row>29</xdr:row>
                    <xdr:rowOff>171450</xdr:rowOff>
                  </from>
                  <to>
                    <xdr:col>3</xdr:col>
                    <xdr:colOff>0</xdr:colOff>
                    <xdr:row>31</xdr:row>
                    <xdr:rowOff>9525</xdr:rowOff>
                  </to>
                </anchor>
              </controlPr>
            </control>
          </mc:Choice>
        </mc:AlternateContent>
        <mc:AlternateContent xmlns:mc="http://schemas.openxmlformats.org/markup-compatibility/2006">
          <mc:Choice Requires="x14">
            <control shapeId="1099" r:id="rId29" name="Button 75">
              <controlPr defaultSize="0" print="0" autoFill="0" autoPict="0" macro="[0]!Button28_Click">
                <anchor moveWithCells="1">
                  <from>
                    <xdr:col>3</xdr:col>
                    <xdr:colOff>19050</xdr:colOff>
                    <xdr:row>29</xdr:row>
                    <xdr:rowOff>161925</xdr:rowOff>
                  </from>
                  <to>
                    <xdr:col>3</xdr:col>
                    <xdr:colOff>619125</xdr:colOff>
                    <xdr:row>31</xdr:row>
                    <xdr:rowOff>9525</xdr:rowOff>
                  </to>
                </anchor>
              </controlPr>
            </control>
          </mc:Choice>
        </mc:AlternateContent>
        <mc:AlternateContent xmlns:mc="http://schemas.openxmlformats.org/markup-compatibility/2006">
          <mc:Choice Requires="x14">
            <control shapeId="1100" r:id="rId30" name="Button 76">
              <controlPr defaultSize="0" print="0" autoFill="0" autoPict="0" macro="[0]!Button29_Click">
                <anchor moveWithCells="1">
                  <from>
                    <xdr:col>4</xdr:col>
                    <xdr:colOff>0</xdr:colOff>
                    <xdr:row>29</xdr:row>
                    <xdr:rowOff>180975</xdr:rowOff>
                  </from>
                  <to>
                    <xdr:col>5</xdr:col>
                    <xdr:colOff>0</xdr:colOff>
                    <xdr:row>31</xdr:row>
                    <xdr:rowOff>19050</xdr:rowOff>
                  </to>
                </anchor>
              </controlPr>
            </control>
          </mc:Choice>
        </mc:AlternateContent>
        <mc:AlternateContent xmlns:mc="http://schemas.openxmlformats.org/markup-compatibility/2006">
          <mc:Choice Requires="x14">
            <control shapeId="1101" r:id="rId31" name="Button 77">
              <controlPr defaultSize="0" print="0" autoFill="0" autoPict="0" macro="[0]!Button30_Click">
                <anchor moveWithCells="1">
                  <from>
                    <xdr:col>5</xdr:col>
                    <xdr:colOff>19050</xdr:colOff>
                    <xdr:row>29</xdr:row>
                    <xdr:rowOff>171450</xdr:rowOff>
                  </from>
                  <to>
                    <xdr:col>6</xdr:col>
                    <xdr:colOff>161925</xdr:colOff>
                    <xdr:row>31</xdr:row>
                    <xdr:rowOff>19050</xdr:rowOff>
                  </to>
                </anchor>
              </controlPr>
            </control>
          </mc:Choice>
        </mc:AlternateContent>
        <mc:AlternateContent xmlns:mc="http://schemas.openxmlformats.org/markup-compatibility/2006">
          <mc:Choice Requires="x14">
            <control shapeId="1102" r:id="rId32" name="Button 78">
              <controlPr defaultSize="0" print="0" autoFill="0" autoPict="0" macro="[0]!Button31_Click">
                <anchor moveWithCells="1">
                  <from>
                    <xdr:col>0</xdr:col>
                    <xdr:colOff>876300</xdr:colOff>
                    <xdr:row>33</xdr:row>
                    <xdr:rowOff>9525</xdr:rowOff>
                  </from>
                  <to>
                    <xdr:col>1</xdr:col>
                    <xdr:colOff>600075</xdr:colOff>
                    <xdr:row>34</xdr:row>
                    <xdr:rowOff>9525</xdr:rowOff>
                  </to>
                </anchor>
              </controlPr>
            </control>
          </mc:Choice>
        </mc:AlternateContent>
        <mc:AlternateContent xmlns:mc="http://schemas.openxmlformats.org/markup-compatibility/2006">
          <mc:Choice Requires="x14">
            <control shapeId="1103" r:id="rId33" name="Button 79">
              <controlPr defaultSize="0" print="0" autoFill="0" autoPict="0" macro="[0]!Button32_Click">
                <anchor moveWithCells="1">
                  <from>
                    <xdr:col>2</xdr:col>
                    <xdr:colOff>9525</xdr:colOff>
                    <xdr:row>32</xdr:row>
                    <xdr:rowOff>180975</xdr:rowOff>
                  </from>
                  <to>
                    <xdr:col>3</xdr:col>
                    <xdr:colOff>9525</xdr:colOff>
                    <xdr:row>34</xdr:row>
                    <xdr:rowOff>19050</xdr:rowOff>
                  </to>
                </anchor>
              </controlPr>
            </control>
          </mc:Choice>
        </mc:AlternateContent>
        <mc:AlternateContent xmlns:mc="http://schemas.openxmlformats.org/markup-compatibility/2006">
          <mc:Choice Requires="x14">
            <control shapeId="1104" r:id="rId34" name="Button 80">
              <controlPr defaultSize="0" print="0" autoFill="0" autoPict="0" macro="[0]!Button33_Click">
                <anchor moveWithCells="1">
                  <from>
                    <xdr:col>3</xdr:col>
                    <xdr:colOff>28575</xdr:colOff>
                    <xdr:row>32</xdr:row>
                    <xdr:rowOff>171450</xdr:rowOff>
                  </from>
                  <to>
                    <xdr:col>4</xdr:col>
                    <xdr:colOff>0</xdr:colOff>
                    <xdr:row>34</xdr:row>
                    <xdr:rowOff>19050</xdr:rowOff>
                  </to>
                </anchor>
              </controlPr>
            </control>
          </mc:Choice>
        </mc:AlternateContent>
        <mc:AlternateContent xmlns:mc="http://schemas.openxmlformats.org/markup-compatibility/2006">
          <mc:Choice Requires="x14">
            <control shapeId="1105" r:id="rId35" name="Button 81">
              <controlPr defaultSize="0" print="0" autoFill="0" autoPict="0" macro="[0]!Button34_Click">
                <anchor moveWithCells="1">
                  <from>
                    <xdr:col>4</xdr:col>
                    <xdr:colOff>9525</xdr:colOff>
                    <xdr:row>33</xdr:row>
                    <xdr:rowOff>0</xdr:rowOff>
                  </from>
                  <to>
                    <xdr:col>5</xdr:col>
                    <xdr:colOff>9525</xdr:colOff>
                    <xdr:row>34</xdr:row>
                    <xdr:rowOff>28575</xdr:rowOff>
                  </to>
                </anchor>
              </controlPr>
            </control>
          </mc:Choice>
        </mc:AlternateContent>
        <mc:AlternateContent xmlns:mc="http://schemas.openxmlformats.org/markup-compatibility/2006">
          <mc:Choice Requires="x14">
            <control shapeId="1106" r:id="rId36" name="Button 82">
              <controlPr defaultSize="0" print="0" autoFill="0" autoPict="0" macro="[0]!Button35_Click">
                <anchor moveWithCells="1">
                  <from>
                    <xdr:col>5</xdr:col>
                    <xdr:colOff>28575</xdr:colOff>
                    <xdr:row>32</xdr:row>
                    <xdr:rowOff>180975</xdr:rowOff>
                  </from>
                  <to>
                    <xdr:col>6</xdr:col>
                    <xdr:colOff>171450</xdr:colOff>
                    <xdr:row>34</xdr:row>
                    <xdr:rowOff>28575</xdr:rowOff>
                  </to>
                </anchor>
              </controlPr>
            </control>
          </mc:Choice>
        </mc:AlternateContent>
        <mc:AlternateContent xmlns:mc="http://schemas.openxmlformats.org/markup-compatibility/2006">
          <mc:Choice Requires="x14">
            <control shapeId="1107" r:id="rId37" name="Button 83">
              <controlPr defaultSize="0" print="0" autoFill="0" autoPict="0" macro="[0]!Button36_Click">
                <anchor moveWithCells="1">
                  <from>
                    <xdr:col>0</xdr:col>
                    <xdr:colOff>847725</xdr:colOff>
                    <xdr:row>35</xdr:row>
                    <xdr:rowOff>0</xdr:rowOff>
                  </from>
                  <to>
                    <xdr:col>1</xdr:col>
                    <xdr:colOff>571500</xdr:colOff>
                    <xdr:row>36</xdr:row>
                    <xdr:rowOff>0</xdr:rowOff>
                  </to>
                </anchor>
              </controlPr>
            </control>
          </mc:Choice>
        </mc:AlternateContent>
        <mc:AlternateContent xmlns:mc="http://schemas.openxmlformats.org/markup-compatibility/2006">
          <mc:Choice Requires="x14">
            <control shapeId="1108" r:id="rId38" name="Button 84">
              <controlPr defaultSize="0" print="0" autoFill="0" autoPict="0" macro="[0]!Button37_Click">
                <anchor moveWithCells="1">
                  <from>
                    <xdr:col>1</xdr:col>
                    <xdr:colOff>590550</xdr:colOff>
                    <xdr:row>34</xdr:row>
                    <xdr:rowOff>171450</xdr:rowOff>
                  </from>
                  <to>
                    <xdr:col>2</xdr:col>
                    <xdr:colOff>590550</xdr:colOff>
                    <xdr:row>36</xdr:row>
                    <xdr:rowOff>9525</xdr:rowOff>
                  </to>
                </anchor>
              </controlPr>
            </control>
          </mc:Choice>
        </mc:AlternateContent>
        <mc:AlternateContent xmlns:mc="http://schemas.openxmlformats.org/markup-compatibility/2006">
          <mc:Choice Requires="x14">
            <control shapeId="1109" r:id="rId39" name="Button 85">
              <controlPr defaultSize="0" print="0" autoFill="0" autoPict="0" macro="[0]!Button38_Click">
                <anchor moveWithCells="1">
                  <from>
                    <xdr:col>3</xdr:col>
                    <xdr:colOff>0</xdr:colOff>
                    <xdr:row>34</xdr:row>
                    <xdr:rowOff>161925</xdr:rowOff>
                  </from>
                  <to>
                    <xdr:col>3</xdr:col>
                    <xdr:colOff>600075</xdr:colOff>
                    <xdr:row>36</xdr:row>
                    <xdr:rowOff>9525</xdr:rowOff>
                  </to>
                </anchor>
              </controlPr>
            </control>
          </mc:Choice>
        </mc:AlternateContent>
        <mc:AlternateContent xmlns:mc="http://schemas.openxmlformats.org/markup-compatibility/2006">
          <mc:Choice Requires="x14">
            <control shapeId="1110" r:id="rId40" name="Button 86">
              <controlPr defaultSize="0" print="0" autoFill="0" autoPict="0" macro="[0]!Button39_Click">
                <anchor moveWithCells="1">
                  <from>
                    <xdr:col>3</xdr:col>
                    <xdr:colOff>609600</xdr:colOff>
                    <xdr:row>34</xdr:row>
                    <xdr:rowOff>180975</xdr:rowOff>
                  </from>
                  <to>
                    <xdr:col>4</xdr:col>
                    <xdr:colOff>590550</xdr:colOff>
                    <xdr:row>36</xdr:row>
                    <xdr:rowOff>19050</xdr:rowOff>
                  </to>
                </anchor>
              </controlPr>
            </control>
          </mc:Choice>
        </mc:AlternateContent>
        <mc:AlternateContent xmlns:mc="http://schemas.openxmlformats.org/markup-compatibility/2006">
          <mc:Choice Requires="x14">
            <control shapeId="1111" r:id="rId41" name="Button 87">
              <controlPr defaultSize="0" print="0" autoFill="0" autoPict="0" macro="[0]!Button40_Click">
                <anchor moveWithCells="1">
                  <from>
                    <xdr:col>4</xdr:col>
                    <xdr:colOff>609600</xdr:colOff>
                    <xdr:row>34</xdr:row>
                    <xdr:rowOff>171450</xdr:rowOff>
                  </from>
                  <to>
                    <xdr:col>6</xdr:col>
                    <xdr:colOff>142875</xdr:colOff>
                    <xdr:row>36</xdr:row>
                    <xdr:rowOff>19050</xdr:rowOff>
                  </to>
                </anchor>
              </controlPr>
            </control>
          </mc:Choice>
        </mc:AlternateContent>
        <mc:AlternateContent xmlns:mc="http://schemas.openxmlformats.org/markup-compatibility/2006">
          <mc:Choice Requires="x14">
            <control shapeId="1112" r:id="rId42" name="Button 88">
              <controlPr defaultSize="0" print="0" autoFill="0" autoPict="0" macro="[0]!Button96_Click">
                <anchor moveWithCells="1">
                  <from>
                    <xdr:col>0</xdr:col>
                    <xdr:colOff>857250</xdr:colOff>
                    <xdr:row>38</xdr:row>
                    <xdr:rowOff>0</xdr:rowOff>
                  </from>
                  <to>
                    <xdr:col>1</xdr:col>
                    <xdr:colOff>581025</xdr:colOff>
                    <xdr:row>39</xdr:row>
                    <xdr:rowOff>0</xdr:rowOff>
                  </to>
                </anchor>
              </controlPr>
            </control>
          </mc:Choice>
        </mc:AlternateContent>
        <mc:AlternateContent xmlns:mc="http://schemas.openxmlformats.org/markup-compatibility/2006">
          <mc:Choice Requires="x14">
            <control shapeId="1113" r:id="rId43" name="Button 89">
              <controlPr defaultSize="0" print="0" autoFill="0" autoPict="0" macro="[0]!Button97_Click">
                <anchor moveWithCells="1">
                  <from>
                    <xdr:col>1</xdr:col>
                    <xdr:colOff>600075</xdr:colOff>
                    <xdr:row>37</xdr:row>
                    <xdr:rowOff>171450</xdr:rowOff>
                  </from>
                  <to>
                    <xdr:col>2</xdr:col>
                    <xdr:colOff>600075</xdr:colOff>
                    <xdr:row>39</xdr:row>
                    <xdr:rowOff>9525</xdr:rowOff>
                  </to>
                </anchor>
              </controlPr>
            </control>
          </mc:Choice>
        </mc:AlternateContent>
        <mc:AlternateContent xmlns:mc="http://schemas.openxmlformats.org/markup-compatibility/2006">
          <mc:Choice Requires="x14">
            <control shapeId="1114" r:id="rId44" name="Button 90">
              <controlPr defaultSize="0" print="0" autoFill="0" autoPict="0" macro="[0]!Button98_Click">
                <anchor moveWithCells="1">
                  <from>
                    <xdr:col>3</xdr:col>
                    <xdr:colOff>9525</xdr:colOff>
                    <xdr:row>37</xdr:row>
                    <xdr:rowOff>161925</xdr:rowOff>
                  </from>
                  <to>
                    <xdr:col>3</xdr:col>
                    <xdr:colOff>609600</xdr:colOff>
                    <xdr:row>39</xdr:row>
                    <xdr:rowOff>9525</xdr:rowOff>
                  </to>
                </anchor>
              </controlPr>
            </control>
          </mc:Choice>
        </mc:AlternateContent>
        <mc:AlternateContent xmlns:mc="http://schemas.openxmlformats.org/markup-compatibility/2006">
          <mc:Choice Requires="x14">
            <control shapeId="1115" r:id="rId45" name="Button 91">
              <controlPr defaultSize="0" print="0" autoFill="0" autoPict="0" macro="[0]!Button99_Click">
                <anchor moveWithCells="1">
                  <from>
                    <xdr:col>3</xdr:col>
                    <xdr:colOff>619125</xdr:colOff>
                    <xdr:row>37</xdr:row>
                    <xdr:rowOff>180975</xdr:rowOff>
                  </from>
                  <to>
                    <xdr:col>4</xdr:col>
                    <xdr:colOff>600075</xdr:colOff>
                    <xdr:row>39</xdr:row>
                    <xdr:rowOff>19050</xdr:rowOff>
                  </to>
                </anchor>
              </controlPr>
            </control>
          </mc:Choice>
        </mc:AlternateContent>
        <mc:AlternateContent xmlns:mc="http://schemas.openxmlformats.org/markup-compatibility/2006">
          <mc:Choice Requires="x14">
            <control shapeId="1116" r:id="rId46" name="Button 92">
              <controlPr defaultSize="0" print="0" autoFill="0" autoPict="0" macro="[0]!Button100_Click">
                <anchor moveWithCells="1">
                  <from>
                    <xdr:col>5</xdr:col>
                    <xdr:colOff>9525</xdr:colOff>
                    <xdr:row>37</xdr:row>
                    <xdr:rowOff>171450</xdr:rowOff>
                  </from>
                  <to>
                    <xdr:col>6</xdr:col>
                    <xdr:colOff>152400</xdr:colOff>
                    <xdr:row>39</xdr:row>
                    <xdr:rowOff>19050</xdr:rowOff>
                  </to>
                </anchor>
              </controlPr>
            </control>
          </mc:Choice>
        </mc:AlternateContent>
        <mc:AlternateContent xmlns:mc="http://schemas.openxmlformats.org/markup-compatibility/2006">
          <mc:Choice Requires="x14">
            <control shapeId="1117" r:id="rId47" name="Button 93">
              <controlPr defaultSize="0" print="0" autoFill="0" autoPict="0" macro="[0]!Button101_Click">
                <anchor moveWithCells="1">
                  <from>
                    <xdr:col>0</xdr:col>
                    <xdr:colOff>876300</xdr:colOff>
                    <xdr:row>40</xdr:row>
                    <xdr:rowOff>180975</xdr:rowOff>
                  </from>
                  <to>
                    <xdr:col>1</xdr:col>
                    <xdr:colOff>600075</xdr:colOff>
                    <xdr:row>42</xdr:row>
                    <xdr:rowOff>0</xdr:rowOff>
                  </to>
                </anchor>
              </controlPr>
            </control>
          </mc:Choice>
        </mc:AlternateContent>
        <mc:AlternateContent xmlns:mc="http://schemas.openxmlformats.org/markup-compatibility/2006">
          <mc:Choice Requires="x14">
            <control shapeId="1118" r:id="rId48" name="Button 94">
              <controlPr defaultSize="0" print="0" autoFill="0" autoPict="0" macro="[0]!Button102_Click">
                <anchor moveWithCells="1">
                  <from>
                    <xdr:col>2</xdr:col>
                    <xdr:colOff>9525</xdr:colOff>
                    <xdr:row>40</xdr:row>
                    <xdr:rowOff>161925</xdr:rowOff>
                  </from>
                  <to>
                    <xdr:col>3</xdr:col>
                    <xdr:colOff>9525</xdr:colOff>
                    <xdr:row>42</xdr:row>
                    <xdr:rowOff>0</xdr:rowOff>
                  </to>
                </anchor>
              </controlPr>
            </control>
          </mc:Choice>
        </mc:AlternateContent>
        <mc:AlternateContent xmlns:mc="http://schemas.openxmlformats.org/markup-compatibility/2006">
          <mc:Choice Requires="x14">
            <control shapeId="1119" r:id="rId49" name="Button 95">
              <controlPr defaultSize="0" print="0" autoFill="0" autoPict="0" macro="[0]!Button103_Click">
                <anchor moveWithCells="1">
                  <from>
                    <xdr:col>3</xdr:col>
                    <xdr:colOff>28575</xdr:colOff>
                    <xdr:row>40</xdr:row>
                    <xdr:rowOff>152400</xdr:rowOff>
                  </from>
                  <to>
                    <xdr:col>4</xdr:col>
                    <xdr:colOff>0</xdr:colOff>
                    <xdr:row>42</xdr:row>
                    <xdr:rowOff>0</xdr:rowOff>
                  </to>
                </anchor>
              </controlPr>
            </control>
          </mc:Choice>
        </mc:AlternateContent>
        <mc:AlternateContent xmlns:mc="http://schemas.openxmlformats.org/markup-compatibility/2006">
          <mc:Choice Requires="x14">
            <control shapeId="1120" r:id="rId50" name="Button 96">
              <controlPr defaultSize="0" print="0" autoFill="0" autoPict="0" macro="[0]!Button104_Click">
                <anchor moveWithCells="1">
                  <from>
                    <xdr:col>4</xdr:col>
                    <xdr:colOff>9525</xdr:colOff>
                    <xdr:row>40</xdr:row>
                    <xdr:rowOff>171450</xdr:rowOff>
                  </from>
                  <to>
                    <xdr:col>5</xdr:col>
                    <xdr:colOff>9525</xdr:colOff>
                    <xdr:row>42</xdr:row>
                    <xdr:rowOff>9525</xdr:rowOff>
                  </to>
                </anchor>
              </controlPr>
            </control>
          </mc:Choice>
        </mc:AlternateContent>
        <mc:AlternateContent xmlns:mc="http://schemas.openxmlformats.org/markup-compatibility/2006">
          <mc:Choice Requires="x14">
            <control shapeId="1121" r:id="rId51" name="Button 97">
              <controlPr defaultSize="0" print="0" autoFill="0" autoPict="0" macro="[0]!Button105_Click">
                <anchor moveWithCells="1">
                  <from>
                    <xdr:col>5</xdr:col>
                    <xdr:colOff>28575</xdr:colOff>
                    <xdr:row>40</xdr:row>
                    <xdr:rowOff>161925</xdr:rowOff>
                  </from>
                  <to>
                    <xdr:col>6</xdr:col>
                    <xdr:colOff>171450</xdr:colOff>
                    <xdr:row>42</xdr:row>
                    <xdr:rowOff>9525</xdr:rowOff>
                  </to>
                </anchor>
              </controlPr>
            </control>
          </mc:Choice>
        </mc:AlternateContent>
        <mc:AlternateContent xmlns:mc="http://schemas.openxmlformats.org/markup-compatibility/2006">
          <mc:Choice Requires="x14">
            <control shapeId="1122" r:id="rId52" name="Button 98">
              <controlPr defaultSize="0" print="0" autoFill="0" autoPict="0" macro="[0]!Button106_Click">
                <anchor moveWithCells="1">
                  <from>
                    <xdr:col>0</xdr:col>
                    <xdr:colOff>838200</xdr:colOff>
                    <xdr:row>43</xdr:row>
                    <xdr:rowOff>180975</xdr:rowOff>
                  </from>
                  <to>
                    <xdr:col>1</xdr:col>
                    <xdr:colOff>561975</xdr:colOff>
                    <xdr:row>45</xdr:row>
                    <xdr:rowOff>0</xdr:rowOff>
                  </to>
                </anchor>
              </controlPr>
            </control>
          </mc:Choice>
        </mc:AlternateContent>
        <mc:AlternateContent xmlns:mc="http://schemas.openxmlformats.org/markup-compatibility/2006">
          <mc:Choice Requires="x14">
            <control shapeId="1123" r:id="rId53" name="Button 99">
              <controlPr defaultSize="0" print="0" autoFill="0" autoPict="0" macro="[0]!Button107_Click">
                <anchor moveWithCells="1">
                  <from>
                    <xdr:col>1</xdr:col>
                    <xdr:colOff>581025</xdr:colOff>
                    <xdr:row>43</xdr:row>
                    <xdr:rowOff>161925</xdr:rowOff>
                  </from>
                  <to>
                    <xdr:col>2</xdr:col>
                    <xdr:colOff>581025</xdr:colOff>
                    <xdr:row>45</xdr:row>
                    <xdr:rowOff>0</xdr:rowOff>
                  </to>
                </anchor>
              </controlPr>
            </control>
          </mc:Choice>
        </mc:AlternateContent>
        <mc:AlternateContent xmlns:mc="http://schemas.openxmlformats.org/markup-compatibility/2006">
          <mc:Choice Requires="x14">
            <control shapeId="1124" r:id="rId54" name="Button 100">
              <controlPr defaultSize="0" print="0" autoFill="0" autoPict="0" macro="[0]!Button108_Click">
                <anchor moveWithCells="1">
                  <from>
                    <xdr:col>2</xdr:col>
                    <xdr:colOff>600075</xdr:colOff>
                    <xdr:row>43</xdr:row>
                    <xdr:rowOff>152400</xdr:rowOff>
                  </from>
                  <to>
                    <xdr:col>3</xdr:col>
                    <xdr:colOff>590550</xdr:colOff>
                    <xdr:row>45</xdr:row>
                    <xdr:rowOff>0</xdr:rowOff>
                  </to>
                </anchor>
              </controlPr>
            </control>
          </mc:Choice>
        </mc:AlternateContent>
        <mc:AlternateContent xmlns:mc="http://schemas.openxmlformats.org/markup-compatibility/2006">
          <mc:Choice Requires="x14">
            <control shapeId="1125" r:id="rId55" name="Button 101">
              <controlPr defaultSize="0" print="0" autoFill="0" autoPict="0" macro="[0]!Button109_Click">
                <anchor moveWithCells="1">
                  <from>
                    <xdr:col>3</xdr:col>
                    <xdr:colOff>600075</xdr:colOff>
                    <xdr:row>43</xdr:row>
                    <xdr:rowOff>171450</xdr:rowOff>
                  </from>
                  <to>
                    <xdr:col>4</xdr:col>
                    <xdr:colOff>581025</xdr:colOff>
                    <xdr:row>45</xdr:row>
                    <xdr:rowOff>9525</xdr:rowOff>
                  </to>
                </anchor>
              </controlPr>
            </control>
          </mc:Choice>
        </mc:AlternateContent>
        <mc:AlternateContent xmlns:mc="http://schemas.openxmlformats.org/markup-compatibility/2006">
          <mc:Choice Requires="x14">
            <control shapeId="1126" r:id="rId56" name="Button 102">
              <controlPr defaultSize="0" print="0" autoFill="0" autoPict="0" macro="[0]!Button30_Click">
                <anchor moveWithCells="1">
                  <from>
                    <xdr:col>4</xdr:col>
                    <xdr:colOff>600075</xdr:colOff>
                    <xdr:row>43</xdr:row>
                    <xdr:rowOff>161925</xdr:rowOff>
                  </from>
                  <to>
                    <xdr:col>5</xdr:col>
                    <xdr:colOff>600075</xdr:colOff>
                    <xdr:row>45</xdr:row>
                    <xdr:rowOff>19050</xdr:rowOff>
                  </to>
                </anchor>
              </controlPr>
            </control>
          </mc:Choice>
        </mc:AlternateContent>
        <mc:AlternateContent xmlns:mc="http://schemas.openxmlformats.org/markup-compatibility/2006">
          <mc:Choice Requires="x14">
            <control shapeId="1127" r:id="rId57" name="Button 103">
              <controlPr defaultSize="0" print="0" autoFill="0" autoPict="0" macro="[0]!Button41_Click">
                <anchor moveWithCells="1">
                  <from>
                    <xdr:col>0</xdr:col>
                    <xdr:colOff>847725</xdr:colOff>
                    <xdr:row>48</xdr:row>
                    <xdr:rowOff>0</xdr:rowOff>
                  </from>
                  <to>
                    <xdr:col>1</xdr:col>
                    <xdr:colOff>571500</xdr:colOff>
                    <xdr:row>49</xdr:row>
                    <xdr:rowOff>0</xdr:rowOff>
                  </to>
                </anchor>
              </controlPr>
            </control>
          </mc:Choice>
        </mc:AlternateContent>
        <mc:AlternateContent xmlns:mc="http://schemas.openxmlformats.org/markup-compatibility/2006">
          <mc:Choice Requires="x14">
            <control shapeId="1128" r:id="rId58" name="Button 104">
              <controlPr defaultSize="0" print="0" autoFill="0" autoPict="0" macro="[0]!Button42_Click">
                <anchor moveWithCells="1">
                  <from>
                    <xdr:col>1</xdr:col>
                    <xdr:colOff>590550</xdr:colOff>
                    <xdr:row>47</xdr:row>
                    <xdr:rowOff>171450</xdr:rowOff>
                  </from>
                  <to>
                    <xdr:col>2</xdr:col>
                    <xdr:colOff>590550</xdr:colOff>
                    <xdr:row>49</xdr:row>
                    <xdr:rowOff>9525</xdr:rowOff>
                  </to>
                </anchor>
              </controlPr>
            </control>
          </mc:Choice>
        </mc:AlternateContent>
        <mc:AlternateContent xmlns:mc="http://schemas.openxmlformats.org/markup-compatibility/2006">
          <mc:Choice Requires="x14">
            <control shapeId="1129" r:id="rId59" name="Button 105">
              <controlPr defaultSize="0" print="0" autoFill="0" autoPict="0" macro="[0]!Button43_Click">
                <anchor moveWithCells="1">
                  <from>
                    <xdr:col>3</xdr:col>
                    <xdr:colOff>0</xdr:colOff>
                    <xdr:row>47</xdr:row>
                    <xdr:rowOff>161925</xdr:rowOff>
                  </from>
                  <to>
                    <xdr:col>3</xdr:col>
                    <xdr:colOff>600075</xdr:colOff>
                    <xdr:row>49</xdr:row>
                    <xdr:rowOff>9525</xdr:rowOff>
                  </to>
                </anchor>
              </controlPr>
            </control>
          </mc:Choice>
        </mc:AlternateContent>
        <mc:AlternateContent xmlns:mc="http://schemas.openxmlformats.org/markup-compatibility/2006">
          <mc:Choice Requires="x14">
            <control shapeId="1130" r:id="rId60" name="Button 106">
              <controlPr defaultSize="0" print="0" autoFill="0" autoPict="0" macro="[0]!Button44_Click">
                <anchor moveWithCells="1">
                  <from>
                    <xdr:col>3</xdr:col>
                    <xdr:colOff>609600</xdr:colOff>
                    <xdr:row>47</xdr:row>
                    <xdr:rowOff>180975</xdr:rowOff>
                  </from>
                  <to>
                    <xdr:col>4</xdr:col>
                    <xdr:colOff>590550</xdr:colOff>
                    <xdr:row>49</xdr:row>
                    <xdr:rowOff>19050</xdr:rowOff>
                  </to>
                </anchor>
              </controlPr>
            </control>
          </mc:Choice>
        </mc:AlternateContent>
        <mc:AlternateContent xmlns:mc="http://schemas.openxmlformats.org/markup-compatibility/2006">
          <mc:Choice Requires="x14">
            <control shapeId="1131" r:id="rId61" name="Button 107">
              <controlPr defaultSize="0" print="0" autoFill="0" autoPict="0" macro="[0]!Button45_Click">
                <anchor moveWithCells="1">
                  <from>
                    <xdr:col>4</xdr:col>
                    <xdr:colOff>609600</xdr:colOff>
                    <xdr:row>47</xdr:row>
                    <xdr:rowOff>171450</xdr:rowOff>
                  </from>
                  <to>
                    <xdr:col>6</xdr:col>
                    <xdr:colOff>142875</xdr:colOff>
                    <xdr:row>49</xdr:row>
                    <xdr:rowOff>19050</xdr:rowOff>
                  </to>
                </anchor>
              </controlPr>
            </control>
          </mc:Choice>
        </mc:AlternateContent>
        <mc:AlternateContent xmlns:mc="http://schemas.openxmlformats.org/markup-compatibility/2006">
          <mc:Choice Requires="x14">
            <control shapeId="1132" r:id="rId62" name="Button 108">
              <controlPr defaultSize="0" print="0" autoFill="0" autoPict="0" macro="[0]!Button46_Click">
                <anchor moveWithCells="1">
                  <from>
                    <xdr:col>0</xdr:col>
                    <xdr:colOff>876300</xdr:colOff>
                    <xdr:row>50</xdr:row>
                    <xdr:rowOff>0</xdr:rowOff>
                  </from>
                  <to>
                    <xdr:col>1</xdr:col>
                    <xdr:colOff>600075</xdr:colOff>
                    <xdr:row>51</xdr:row>
                    <xdr:rowOff>0</xdr:rowOff>
                  </to>
                </anchor>
              </controlPr>
            </control>
          </mc:Choice>
        </mc:AlternateContent>
        <mc:AlternateContent xmlns:mc="http://schemas.openxmlformats.org/markup-compatibility/2006">
          <mc:Choice Requires="x14">
            <control shapeId="1133" r:id="rId63" name="Button 109">
              <controlPr defaultSize="0" print="0" autoFill="0" autoPict="0" macro="[0]!Button47_Click">
                <anchor moveWithCells="1">
                  <from>
                    <xdr:col>2</xdr:col>
                    <xdr:colOff>9525</xdr:colOff>
                    <xdr:row>49</xdr:row>
                    <xdr:rowOff>171450</xdr:rowOff>
                  </from>
                  <to>
                    <xdr:col>3</xdr:col>
                    <xdr:colOff>9525</xdr:colOff>
                    <xdr:row>51</xdr:row>
                    <xdr:rowOff>9525</xdr:rowOff>
                  </to>
                </anchor>
              </controlPr>
            </control>
          </mc:Choice>
        </mc:AlternateContent>
        <mc:AlternateContent xmlns:mc="http://schemas.openxmlformats.org/markup-compatibility/2006">
          <mc:Choice Requires="x14">
            <control shapeId="1134" r:id="rId64" name="Button 110">
              <controlPr defaultSize="0" print="0" autoFill="0" autoPict="0" macro="[0]!Button48_Click">
                <anchor moveWithCells="1">
                  <from>
                    <xdr:col>3</xdr:col>
                    <xdr:colOff>28575</xdr:colOff>
                    <xdr:row>49</xdr:row>
                    <xdr:rowOff>161925</xdr:rowOff>
                  </from>
                  <to>
                    <xdr:col>4</xdr:col>
                    <xdr:colOff>0</xdr:colOff>
                    <xdr:row>51</xdr:row>
                    <xdr:rowOff>9525</xdr:rowOff>
                  </to>
                </anchor>
              </controlPr>
            </control>
          </mc:Choice>
        </mc:AlternateContent>
        <mc:AlternateContent xmlns:mc="http://schemas.openxmlformats.org/markup-compatibility/2006">
          <mc:Choice Requires="x14">
            <control shapeId="1135" r:id="rId65" name="Button 111">
              <controlPr defaultSize="0" print="0" autoFill="0" autoPict="0" macro="[0]!Button49_Click">
                <anchor moveWithCells="1">
                  <from>
                    <xdr:col>4</xdr:col>
                    <xdr:colOff>9525</xdr:colOff>
                    <xdr:row>49</xdr:row>
                    <xdr:rowOff>180975</xdr:rowOff>
                  </from>
                  <to>
                    <xdr:col>5</xdr:col>
                    <xdr:colOff>9525</xdr:colOff>
                    <xdr:row>51</xdr:row>
                    <xdr:rowOff>19050</xdr:rowOff>
                  </to>
                </anchor>
              </controlPr>
            </control>
          </mc:Choice>
        </mc:AlternateContent>
        <mc:AlternateContent xmlns:mc="http://schemas.openxmlformats.org/markup-compatibility/2006">
          <mc:Choice Requires="x14">
            <control shapeId="1136" r:id="rId66" name="Button 112">
              <controlPr defaultSize="0" print="0" autoFill="0" autoPict="0" macro="[0]!Button50_Click">
                <anchor moveWithCells="1">
                  <from>
                    <xdr:col>5</xdr:col>
                    <xdr:colOff>28575</xdr:colOff>
                    <xdr:row>49</xdr:row>
                    <xdr:rowOff>171450</xdr:rowOff>
                  </from>
                  <to>
                    <xdr:col>6</xdr:col>
                    <xdr:colOff>171450</xdr:colOff>
                    <xdr:row>51</xdr:row>
                    <xdr:rowOff>19050</xdr:rowOff>
                  </to>
                </anchor>
              </controlPr>
            </control>
          </mc:Choice>
        </mc:AlternateContent>
        <mc:AlternateContent xmlns:mc="http://schemas.openxmlformats.org/markup-compatibility/2006">
          <mc:Choice Requires="x14">
            <control shapeId="1137" r:id="rId67" name="Button 113">
              <controlPr defaultSize="0" print="0" autoFill="0" autoPict="0" macro="[0]!Button51_Click">
                <anchor moveWithCells="1">
                  <from>
                    <xdr:col>1</xdr:col>
                    <xdr:colOff>0</xdr:colOff>
                    <xdr:row>52</xdr:row>
                    <xdr:rowOff>0</xdr:rowOff>
                  </from>
                  <to>
                    <xdr:col>2</xdr:col>
                    <xdr:colOff>0</xdr:colOff>
                    <xdr:row>53</xdr:row>
                    <xdr:rowOff>0</xdr:rowOff>
                  </to>
                </anchor>
              </controlPr>
            </control>
          </mc:Choice>
        </mc:AlternateContent>
        <mc:AlternateContent xmlns:mc="http://schemas.openxmlformats.org/markup-compatibility/2006">
          <mc:Choice Requires="x14">
            <control shapeId="1138" r:id="rId68" name="Button 114">
              <controlPr defaultSize="0" print="0" autoFill="0" autoPict="0" macro="[0]!Button52_Click">
                <anchor moveWithCells="1">
                  <from>
                    <xdr:col>2</xdr:col>
                    <xdr:colOff>19050</xdr:colOff>
                    <xdr:row>51</xdr:row>
                    <xdr:rowOff>171450</xdr:rowOff>
                  </from>
                  <to>
                    <xdr:col>3</xdr:col>
                    <xdr:colOff>19050</xdr:colOff>
                    <xdr:row>53</xdr:row>
                    <xdr:rowOff>9525</xdr:rowOff>
                  </to>
                </anchor>
              </controlPr>
            </control>
          </mc:Choice>
        </mc:AlternateContent>
        <mc:AlternateContent xmlns:mc="http://schemas.openxmlformats.org/markup-compatibility/2006">
          <mc:Choice Requires="x14">
            <control shapeId="1139" r:id="rId69" name="Button 115">
              <controlPr defaultSize="0" print="0" autoFill="0" autoPict="0" macro="[0]!Button53_Click">
                <anchor moveWithCells="1">
                  <from>
                    <xdr:col>3</xdr:col>
                    <xdr:colOff>38100</xdr:colOff>
                    <xdr:row>51</xdr:row>
                    <xdr:rowOff>161925</xdr:rowOff>
                  </from>
                  <to>
                    <xdr:col>4</xdr:col>
                    <xdr:colOff>9525</xdr:colOff>
                    <xdr:row>53</xdr:row>
                    <xdr:rowOff>9525</xdr:rowOff>
                  </to>
                </anchor>
              </controlPr>
            </control>
          </mc:Choice>
        </mc:AlternateContent>
        <mc:AlternateContent xmlns:mc="http://schemas.openxmlformats.org/markup-compatibility/2006">
          <mc:Choice Requires="x14">
            <control shapeId="1140" r:id="rId70" name="Button 116">
              <controlPr defaultSize="0" print="0" autoFill="0" autoPict="0" macro="[0]!Button54_Click">
                <anchor moveWithCells="1">
                  <from>
                    <xdr:col>4</xdr:col>
                    <xdr:colOff>19050</xdr:colOff>
                    <xdr:row>51</xdr:row>
                    <xdr:rowOff>180975</xdr:rowOff>
                  </from>
                  <to>
                    <xdr:col>5</xdr:col>
                    <xdr:colOff>19050</xdr:colOff>
                    <xdr:row>53</xdr:row>
                    <xdr:rowOff>19050</xdr:rowOff>
                  </to>
                </anchor>
              </controlPr>
            </control>
          </mc:Choice>
        </mc:AlternateContent>
        <mc:AlternateContent xmlns:mc="http://schemas.openxmlformats.org/markup-compatibility/2006">
          <mc:Choice Requires="x14">
            <control shapeId="1141" r:id="rId71" name="Button 117">
              <controlPr defaultSize="0" print="0" autoFill="0" autoPict="0" macro="[0]!Button55_Click">
                <anchor moveWithCells="1">
                  <from>
                    <xdr:col>5</xdr:col>
                    <xdr:colOff>38100</xdr:colOff>
                    <xdr:row>51</xdr:row>
                    <xdr:rowOff>171450</xdr:rowOff>
                  </from>
                  <to>
                    <xdr:col>6</xdr:col>
                    <xdr:colOff>180975</xdr:colOff>
                    <xdr:row>53</xdr:row>
                    <xdr:rowOff>19050</xdr:rowOff>
                  </to>
                </anchor>
              </controlPr>
            </control>
          </mc:Choice>
        </mc:AlternateContent>
        <mc:AlternateContent xmlns:mc="http://schemas.openxmlformats.org/markup-compatibility/2006">
          <mc:Choice Requires="x14">
            <control shapeId="1142" r:id="rId72" name="Button 118">
              <controlPr defaultSize="0" print="0" autoFill="0" autoPict="0" macro="[0]!Button56_Click">
                <anchor moveWithCells="1">
                  <from>
                    <xdr:col>1</xdr:col>
                    <xdr:colOff>9525</xdr:colOff>
                    <xdr:row>54</xdr:row>
                    <xdr:rowOff>9525</xdr:rowOff>
                  </from>
                  <to>
                    <xdr:col>2</xdr:col>
                    <xdr:colOff>9525</xdr:colOff>
                    <xdr:row>55</xdr:row>
                    <xdr:rowOff>9525</xdr:rowOff>
                  </to>
                </anchor>
              </controlPr>
            </control>
          </mc:Choice>
        </mc:AlternateContent>
        <mc:AlternateContent xmlns:mc="http://schemas.openxmlformats.org/markup-compatibility/2006">
          <mc:Choice Requires="x14">
            <control shapeId="1143" r:id="rId73" name="Button 119">
              <controlPr defaultSize="0" print="0" autoFill="0" autoPict="0" macro="[0]!Button57_Click">
                <anchor moveWithCells="1">
                  <from>
                    <xdr:col>2</xdr:col>
                    <xdr:colOff>28575</xdr:colOff>
                    <xdr:row>53</xdr:row>
                    <xdr:rowOff>180975</xdr:rowOff>
                  </from>
                  <to>
                    <xdr:col>3</xdr:col>
                    <xdr:colOff>28575</xdr:colOff>
                    <xdr:row>55</xdr:row>
                    <xdr:rowOff>19050</xdr:rowOff>
                  </to>
                </anchor>
              </controlPr>
            </control>
          </mc:Choice>
        </mc:AlternateContent>
        <mc:AlternateContent xmlns:mc="http://schemas.openxmlformats.org/markup-compatibility/2006">
          <mc:Choice Requires="x14">
            <control shapeId="1144" r:id="rId74" name="Button 120">
              <controlPr defaultSize="0" print="0" autoFill="0" autoPict="0" macro="[0]!Button58_Click">
                <anchor moveWithCells="1">
                  <from>
                    <xdr:col>3</xdr:col>
                    <xdr:colOff>47625</xdr:colOff>
                    <xdr:row>53</xdr:row>
                    <xdr:rowOff>171450</xdr:rowOff>
                  </from>
                  <to>
                    <xdr:col>4</xdr:col>
                    <xdr:colOff>19050</xdr:colOff>
                    <xdr:row>55</xdr:row>
                    <xdr:rowOff>19050</xdr:rowOff>
                  </to>
                </anchor>
              </controlPr>
            </control>
          </mc:Choice>
        </mc:AlternateContent>
        <mc:AlternateContent xmlns:mc="http://schemas.openxmlformats.org/markup-compatibility/2006">
          <mc:Choice Requires="x14">
            <control shapeId="1145" r:id="rId75" name="Button 121">
              <controlPr defaultSize="0" print="0" autoFill="0" autoPict="0" macro="[0]!Button59_Click">
                <anchor moveWithCells="1">
                  <from>
                    <xdr:col>4</xdr:col>
                    <xdr:colOff>28575</xdr:colOff>
                    <xdr:row>54</xdr:row>
                    <xdr:rowOff>0</xdr:rowOff>
                  </from>
                  <to>
                    <xdr:col>5</xdr:col>
                    <xdr:colOff>28575</xdr:colOff>
                    <xdr:row>55</xdr:row>
                    <xdr:rowOff>28575</xdr:rowOff>
                  </to>
                </anchor>
              </controlPr>
            </control>
          </mc:Choice>
        </mc:AlternateContent>
        <mc:AlternateContent xmlns:mc="http://schemas.openxmlformats.org/markup-compatibility/2006">
          <mc:Choice Requires="x14">
            <control shapeId="1146" r:id="rId76" name="Button 122">
              <controlPr defaultSize="0" print="0" autoFill="0" autoPict="0" macro="[0]!Button60_Click">
                <anchor moveWithCells="1">
                  <from>
                    <xdr:col>5</xdr:col>
                    <xdr:colOff>47625</xdr:colOff>
                    <xdr:row>53</xdr:row>
                    <xdr:rowOff>180975</xdr:rowOff>
                  </from>
                  <to>
                    <xdr:col>6</xdr:col>
                    <xdr:colOff>190500</xdr:colOff>
                    <xdr:row>55</xdr:row>
                    <xdr:rowOff>28575</xdr:rowOff>
                  </to>
                </anchor>
              </controlPr>
            </control>
          </mc:Choice>
        </mc:AlternateContent>
        <mc:AlternateContent xmlns:mc="http://schemas.openxmlformats.org/markup-compatibility/2006">
          <mc:Choice Requires="x14">
            <control shapeId="1147" r:id="rId77" name="Button 123">
              <controlPr defaultSize="0" print="0" autoFill="0" autoPict="0" macro="[0]!Button61_Click">
                <anchor moveWithCells="1">
                  <from>
                    <xdr:col>0</xdr:col>
                    <xdr:colOff>866775</xdr:colOff>
                    <xdr:row>57</xdr:row>
                    <xdr:rowOff>180975</xdr:rowOff>
                  </from>
                  <to>
                    <xdr:col>1</xdr:col>
                    <xdr:colOff>590550</xdr:colOff>
                    <xdr:row>59</xdr:row>
                    <xdr:rowOff>0</xdr:rowOff>
                  </to>
                </anchor>
              </controlPr>
            </control>
          </mc:Choice>
        </mc:AlternateContent>
        <mc:AlternateContent xmlns:mc="http://schemas.openxmlformats.org/markup-compatibility/2006">
          <mc:Choice Requires="x14">
            <control shapeId="1148" r:id="rId78" name="Button 124">
              <controlPr defaultSize="0" print="0" autoFill="0" autoPict="0" macro="[0]!Button62_Click">
                <anchor moveWithCells="1">
                  <from>
                    <xdr:col>2</xdr:col>
                    <xdr:colOff>0</xdr:colOff>
                    <xdr:row>57</xdr:row>
                    <xdr:rowOff>161925</xdr:rowOff>
                  </from>
                  <to>
                    <xdr:col>3</xdr:col>
                    <xdr:colOff>0</xdr:colOff>
                    <xdr:row>59</xdr:row>
                    <xdr:rowOff>0</xdr:rowOff>
                  </to>
                </anchor>
              </controlPr>
            </control>
          </mc:Choice>
        </mc:AlternateContent>
        <mc:AlternateContent xmlns:mc="http://schemas.openxmlformats.org/markup-compatibility/2006">
          <mc:Choice Requires="x14">
            <control shapeId="1149" r:id="rId79" name="Button 125">
              <controlPr defaultSize="0" print="0" autoFill="0" autoPict="0" macro="[0]!Button63_Click">
                <anchor moveWithCells="1">
                  <from>
                    <xdr:col>3</xdr:col>
                    <xdr:colOff>19050</xdr:colOff>
                    <xdr:row>57</xdr:row>
                    <xdr:rowOff>152400</xdr:rowOff>
                  </from>
                  <to>
                    <xdr:col>3</xdr:col>
                    <xdr:colOff>619125</xdr:colOff>
                    <xdr:row>59</xdr:row>
                    <xdr:rowOff>0</xdr:rowOff>
                  </to>
                </anchor>
              </controlPr>
            </control>
          </mc:Choice>
        </mc:AlternateContent>
        <mc:AlternateContent xmlns:mc="http://schemas.openxmlformats.org/markup-compatibility/2006">
          <mc:Choice Requires="x14">
            <control shapeId="1150" r:id="rId80" name="Button 126">
              <controlPr defaultSize="0" print="0" autoFill="0" autoPict="0" macro="[0]!Button64_Click">
                <anchor moveWithCells="1">
                  <from>
                    <xdr:col>4</xdr:col>
                    <xdr:colOff>0</xdr:colOff>
                    <xdr:row>57</xdr:row>
                    <xdr:rowOff>171450</xdr:rowOff>
                  </from>
                  <to>
                    <xdr:col>5</xdr:col>
                    <xdr:colOff>0</xdr:colOff>
                    <xdr:row>59</xdr:row>
                    <xdr:rowOff>9525</xdr:rowOff>
                  </to>
                </anchor>
              </controlPr>
            </control>
          </mc:Choice>
        </mc:AlternateContent>
        <mc:AlternateContent xmlns:mc="http://schemas.openxmlformats.org/markup-compatibility/2006">
          <mc:Choice Requires="x14">
            <control shapeId="1151" r:id="rId81" name="Button 127">
              <controlPr defaultSize="0" print="0" autoFill="0" autoPict="0" macro="[0]!Button65_Click">
                <anchor moveWithCells="1">
                  <from>
                    <xdr:col>5</xdr:col>
                    <xdr:colOff>19050</xdr:colOff>
                    <xdr:row>57</xdr:row>
                    <xdr:rowOff>161925</xdr:rowOff>
                  </from>
                  <to>
                    <xdr:col>6</xdr:col>
                    <xdr:colOff>161925</xdr:colOff>
                    <xdr:row>59</xdr:row>
                    <xdr:rowOff>9525</xdr:rowOff>
                  </to>
                </anchor>
              </controlPr>
            </control>
          </mc:Choice>
        </mc:AlternateContent>
        <mc:AlternateContent xmlns:mc="http://schemas.openxmlformats.org/markup-compatibility/2006">
          <mc:Choice Requires="x14">
            <control shapeId="1152" r:id="rId82" name="Button 128">
              <controlPr defaultSize="0" print="0" autoFill="0" autoPict="0" macro="[0]!Button66_Click">
                <anchor moveWithCells="1">
                  <from>
                    <xdr:col>0</xdr:col>
                    <xdr:colOff>866775</xdr:colOff>
                    <xdr:row>61</xdr:row>
                    <xdr:rowOff>9525</xdr:rowOff>
                  </from>
                  <to>
                    <xdr:col>1</xdr:col>
                    <xdr:colOff>590550</xdr:colOff>
                    <xdr:row>62</xdr:row>
                    <xdr:rowOff>9525</xdr:rowOff>
                  </to>
                </anchor>
              </controlPr>
            </control>
          </mc:Choice>
        </mc:AlternateContent>
        <mc:AlternateContent xmlns:mc="http://schemas.openxmlformats.org/markup-compatibility/2006">
          <mc:Choice Requires="x14">
            <control shapeId="1153" r:id="rId83" name="Button 129">
              <controlPr defaultSize="0" print="0" autoFill="0" autoPict="0" macro="[0]!Button67_Click">
                <anchor moveWithCells="1">
                  <from>
                    <xdr:col>2</xdr:col>
                    <xdr:colOff>0</xdr:colOff>
                    <xdr:row>60</xdr:row>
                    <xdr:rowOff>180975</xdr:rowOff>
                  </from>
                  <to>
                    <xdr:col>3</xdr:col>
                    <xdr:colOff>0</xdr:colOff>
                    <xdr:row>62</xdr:row>
                    <xdr:rowOff>19050</xdr:rowOff>
                  </to>
                </anchor>
              </controlPr>
            </control>
          </mc:Choice>
        </mc:AlternateContent>
        <mc:AlternateContent xmlns:mc="http://schemas.openxmlformats.org/markup-compatibility/2006">
          <mc:Choice Requires="x14">
            <control shapeId="1154" r:id="rId84" name="Button 130">
              <controlPr defaultSize="0" print="0" autoFill="0" autoPict="0" macro="[0]!Button68_Click">
                <anchor moveWithCells="1">
                  <from>
                    <xdr:col>3</xdr:col>
                    <xdr:colOff>19050</xdr:colOff>
                    <xdr:row>60</xdr:row>
                    <xdr:rowOff>171450</xdr:rowOff>
                  </from>
                  <to>
                    <xdr:col>3</xdr:col>
                    <xdr:colOff>619125</xdr:colOff>
                    <xdr:row>62</xdr:row>
                    <xdr:rowOff>19050</xdr:rowOff>
                  </to>
                </anchor>
              </controlPr>
            </control>
          </mc:Choice>
        </mc:AlternateContent>
        <mc:AlternateContent xmlns:mc="http://schemas.openxmlformats.org/markup-compatibility/2006">
          <mc:Choice Requires="x14">
            <control shapeId="1155" r:id="rId85" name="Button 131">
              <controlPr defaultSize="0" print="0" autoFill="0" autoPict="0" macro="[0]!Button69_Click">
                <anchor moveWithCells="1">
                  <from>
                    <xdr:col>4</xdr:col>
                    <xdr:colOff>0</xdr:colOff>
                    <xdr:row>61</xdr:row>
                    <xdr:rowOff>0</xdr:rowOff>
                  </from>
                  <to>
                    <xdr:col>5</xdr:col>
                    <xdr:colOff>0</xdr:colOff>
                    <xdr:row>62</xdr:row>
                    <xdr:rowOff>28575</xdr:rowOff>
                  </to>
                </anchor>
              </controlPr>
            </control>
          </mc:Choice>
        </mc:AlternateContent>
        <mc:AlternateContent xmlns:mc="http://schemas.openxmlformats.org/markup-compatibility/2006">
          <mc:Choice Requires="x14">
            <control shapeId="1156" r:id="rId86" name="Button 132">
              <controlPr defaultSize="0" print="0" autoFill="0" autoPict="0" macro="[0]!Button70_Click">
                <anchor moveWithCells="1">
                  <from>
                    <xdr:col>5</xdr:col>
                    <xdr:colOff>19050</xdr:colOff>
                    <xdr:row>60</xdr:row>
                    <xdr:rowOff>180975</xdr:rowOff>
                  </from>
                  <to>
                    <xdr:col>6</xdr:col>
                    <xdr:colOff>161925</xdr:colOff>
                    <xdr:row>62</xdr:row>
                    <xdr:rowOff>28575</xdr:rowOff>
                  </to>
                </anchor>
              </controlPr>
            </control>
          </mc:Choice>
        </mc:AlternateContent>
        <mc:AlternateContent xmlns:mc="http://schemas.openxmlformats.org/markup-compatibility/2006">
          <mc:Choice Requires="x14">
            <control shapeId="1157" r:id="rId87" name="Button 133">
              <controlPr defaultSize="0" print="0" autoFill="0" autoPict="0" macro="[0]!Button71_Click">
                <anchor moveWithCells="1">
                  <from>
                    <xdr:col>0</xdr:col>
                    <xdr:colOff>866775</xdr:colOff>
                    <xdr:row>63</xdr:row>
                    <xdr:rowOff>9525</xdr:rowOff>
                  </from>
                  <to>
                    <xdr:col>1</xdr:col>
                    <xdr:colOff>590550</xdr:colOff>
                    <xdr:row>64</xdr:row>
                    <xdr:rowOff>9525</xdr:rowOff>
                  </to>
                </anchor>
              </controlPr>
            </control>
          </mc:Choice>
        </mc:AlternateContent>
        <mc:AlternateContent xmlns:mc="http://schemas.openxmlformats.org/markup-compatibility/2006">
          <mc:Choice Requires="x14">
            <control shapeId="1158" r:id="rId88" name="Button 134">
              <controlPr defaultSize="0" print="0" autoFill="0" autoPict="0" macro="[0]!Button72_Click">
                <anchor moveWithCells="1">
                  <from>
                    <xdr:col>2</xdr:col>
                    <xdr:colOff>0</xdr:colOff>
                    <xdr:row>62</xdr:row>
                    <xdr:rowOff>180975</xdr:rowOff>
                  </from>
                  <to>
                    <xdr:col>3</xdr:col>
                    <xdr:colOff>0</xdr:colOff>
                    <xdr:row>64</xdr:row>
                    <xdr:rowOff>19050</xdr:rowOff>
                  </to>
                </anchor>
              </controlPr>
            </control>
          </mc:Choice>
        </mc:AlternateContent>
        <mc:AlternateContent xmlns:mc="http://schemas.openxmlformats.org/markup-compatibility/2006">
          <mc:Choice Requires="x14">
            <control shapeId="1159" r:id="rId89" name="Button 135">
              <controlPr defaultSize="0" print="0" autoFill="0" autoPict="0" macro="[0]!Button73_Click">
                <anchor moveWithCells="1">
                  <from>
                    <xdr:col>3</xdr:col>
                    <xdr:colOff>19050</xdr:colOff>
                    <xdr:row>62</xdr:row>
                    <xdr:rowOff>171450</xdr:rowOff>
                  </from>
                  <to>
                    <xdr:col>3</xdr:col>
                    <xdr:colOff>619125</xdr:colOff>
                    <xdr:row>64</xdr:row>
                    <xdr:rowOff>19050</xdr:rowOff>
                  </to>
                </anchor>
              </controlPr>
            </control>
          </mc:Choice>
        </mc:AlternateContent>
        <mc:AlternateContent xmlns:mc="http://schemas.openxmlformats.org/markup-compatibility/2006">
          <mc:Choice Requires="x14">
            <control shapeId="1160" r:id="rId90" name="Button 136">
              <controlPr defaultSize="0" print="0" autoFill="0" autoPict="0" macro="[0]!Button74_Click">
                <anchor moveWithCells="1">
                  <from>
                    <xdr:col>4</xdr:col>
                    <xdr:colOff>0</xdr:colOff>
                    <xdr:row>63</xdr:row>
                    <xdr:rowOff>0</xdr:rowOff>
                  </from>
                  <to>
                    <xdr:col>5</xdr:col>
                    <xdr:colOff>0</xdr:colOff>
                    <xdr:row>64</xdr:row>
                    <xdr:rowOff>28575</xdr:rowOff>
                  </to>
                </anchor>
              </controlPr>
            </control>
          </mc:Choice>
        </mc:AlternateContent>
        <mc:AlternateContent xmlns:mc="http://schemas.openxmlformats.org/markup-compatibility/2006">
          <mc:Choice Requires="x14">
            <control shapeId="1161" r:id="rId91" name="Button 137">
              <controlPr defaultSize="0" print="0" autoFill="0" autoPict="0" macro="[0]!Button75_Click">
                <anchor moveWithCells="1">
                  <from>
                    <xdr:col>5</xdr:col>
                    <xdr:colOff>19050</xdr:colOff>
                    <xdr:row>62</xdr:row>
                    <xdr:rowOff>180975</xdr:rowOff>
                  </from>
                  <to>
                    <xdr:col>6</xdr:col>
                    <xdr:colOff>161925</xdr:colOff>
                    <xdr:row>64</xdr:row>
                    <xdr:rowOff>28575</xdr:rowOff>
                  </to>
                </anchor>
              </controlPr>
            </control>
          </mc:Choice>
        </mc:AlternateContent>
        <mc:AlternateContent xmlns:mc="http://schemas.openxmlformats.org/markup-compatibility/2006">
          <mc:Choice Requires="x14">
            <control shapeId="1162" r:id="rId92" name="Button 138">
              <controlPr defaultSize="0" print="0" autoFill="0" autoPict="0" macro="[0]!Button76_Click">
                <anchor moveWithCells="1">
                  <from>
                    <xdr:col>1</xdr:col>
                    <xdr:colOff>9525</xdr:colOff>
                    <xdr:row>64</xdr:row>
                    <xdr:rowOff>171450</xdr:rowOff>
                  </from>
                  <to>
                    <xdr:col>2</xdr:col>
                    <xdr:colOff>9525</xdr:colOff>
                    <xdr:row>65</xdr:row>
                    <xdr:rowOff>171450</xdr:rowOff>
                  </to>
                </anchor>
              </controlPr>
            </control>
          </mc:Choice>
        </mc:AlternateContent>
        <mc:AlternateContent xmlns:mc="http://schemas.openxmlformats.org/markup-compatibility/2006">
          <mc:Choice Requires="x14">
            <control shapeId="1163" r:id="rId93" name="Button 139">
              <controlPr defaultSize="0" print="0" autoFill="0" autoPict="0" macro="[0]!Button77_Click">
                <anchor moveWithCells="1">
                  <from>
                    <xdr:col>2</xdr:col>
                    <xdr:colOff>28575</xdr:colOff>
                    <xdr:row>64</xdr:row>
                    <xdr:rowOff>152400</xdr:rowOff>
                  </from>
                  <to>
                    <xdr:col>3</xdr:col>
                    <xdr:colOff>28575</xdr:colOff>
                    <xdr:row>66</xdr:row>
                    <xdr:rowOff>0</xdr:rowOff>
                  </to>
                </anchor>
              </controlPr>
            </control>
          </mc:Choice>
        </mc:AlternateContent>
        <mc:AlternateContent xmlns:mc="http://schemas.openxmlformats.org/markup-compatibility/2006">
          <mc:Choice Requires="x14">
            <control shapeId="1164" r:id="rId94" name="Button 140">
              <controlPr defaultSize="0" print="0" autoFill="0" autoPict="0" macro="[0]!Button78_Click">
                <anchor moveWithCells="1">
                  <from>
                    <xdr:col>3</xdr:col>
                    <xdr:colOff>47625</xdr:colOff>
                    <xdr:row>64</xdr:row>
                    <xdr:rowOff>142875</xdr:rowOff>
                  </from>
                  <to>
                    <xdr:col>4</xdr:col>
                    <xdr:colOff>19050</xdr:colOff>
                    <xdr:row>66</xdr:row>
                    <xdr:rowOff>0</xdr:rowOff>
                  </to>
                </anchor>
              </controlPr>
            </control>
          </mc:Choice>
        </mc:AlternateContent>
        <mc:AlternateContent xmlns:mc="http://schemas.openxmlformats.org/markup-compatibility/2006">
          <mc:Choice Requires="x14">
            <control shapeId="1165" r:id="rId95" name="Button 141">
              <controlPr defaultSize="0" print="0" autoFill="0" autoPict="0" macro="[0]!Button79_Click">
                <anchor moveWithCells="1">
                  <from>
                    <xdr:col>4</xdr:col>
                    <xdr:colOff>28575</xdr:colOff>
                    <xdr:row>64</xdr:row>
                    <xdr:rowOff>161925</xdr:rowOff>
                  </from>
                  <to>
                    <xdr:col>5</xdr:col>
                    <xdr:colOff>28575</xdr:colOff>
                    <xdr:row>66</xdr:row>
                    <xdr:rowOff>0</xdr:rowOff>
                  </to>
                </anchor>
              </controlPr>
            </control>
          </mc:Choice>
        </mc:AlternateContent>
        <mc:AlternateContent xmlns:mc="http://schemas.openxmlformats.org/markup-compatibility/2006">
          <mc:Choice Requires="x14">
            <control shapeId="1166" r:id="rId96" name="Button 142">
              <controlPr defaultSize="0" print="0" autoFill="0" autoPict="0" macro="[0]!Button80_Click">
                <anchor moveWithCells="1">
                  <from>
                    <xdr:col>5</xdr:col>
                    <xdr:colOff>47625</xdr:colOff>
                    <xdr:row>64</xdr:row>
                    <xdr:rowOff>152400</xdr:rowOff>
                  </from>
                  <to>
                    <xdr:col>6</xdr:col>
                    <xdr:colOff>190500</xdr:colOff>
                    <xdr:row>66</xdr:row>
                    <xdr:rowOff>0</xdr:rowOff>
                  </to>
                </anchor>
              </controlPr>
            </control>
          </mc:Choice>
        </mc:AlternateContent>
        <mc:AlternateContent xmlns:mc="http://schemas.openxmlformats.org/markup-compatibility/2006">
          <mc:Choice Requires="x14">
            <control shapeId="1168" r:id="rId97" name="Button 144">
              <controlPr defaultSize="0" print="0" autoFill="0" autoPict="0" macro="[0]!Button30_Click">
                <anchor moveWithCells="1">
                  <from>
                    <xdr:col>5</xdr:col>
                    <xdr:colOff>9525</xdr:colOff>
                    <xdr:row>43</xdr:row>
                    <xdr:rowOff>171450</xdr:rowOff>
                  </from>
                  <to>
                    <xdr:col>6</xdr:col>
                    <xdr:colOff>9525</xdr:colOff>
                    <xdr:row>45</xdr:row>
                    <xdr:rowOff>28575</xdr:rowOff>
                  </to>
                </anchor>
              </controlPr>
            </control>
          </mc:Choice>
        </mc:AlternateContent>
        <mc:AlternateContent xmlns:mc="http://schemas.openxmlformats.org/markup-compatibility/2006">
          <mc:Choice Requires="x14">
            <control shapeId="1170" r:id="rId98" name="Button 146">
              <controlPr defaultSize="0" print="0" autoFill="0" autoPict="0" macro="[0]!Button110_Click">
                <anchor moveWithCells="1">
                  <from>
                    <xdr:col>5</xdr:col>
                    <xdr:colOff>9525</xdr:colOff>
                    <xdr:row>43</xdr:row>
                    <xdr:rowOff>171450</xdr:rowOff>
                  </from>
                  <to>
                    <xdr:col>6</xdr:col>
                    <xdr:colOff>152400</xdr:colOff>
                    <xdr:row>45</xdr:row>
                    <xdr:rowOff>19050</xdr:rowOff>
                  </to>
                </anchor>
              </controlPr>
            </control>
          </mc:Choice>
        </mc:AlternateContent>
        <mc:AlternateContent xmlns:mc="http://schemas.openxmlformats.org/markup-compatibility/2006">
          <mc:Choice Requires="x14">
            <control shapeId="1171" r:id="rId99" name="Button 147">
              <controlPr defaultSize="0" print="0" autoFill="0" autoPict="0" macro="[0]!Button16_Click">
                <anchor moveWithCells="1">
                  <from>
                    <xdr:col>1</xdr:col>
                    <xdr:colOff>9525</xdr:colOff>
                    <xdr:row>16</xdr:row>
                    <xdr:rowOff>9525</xdr:rowOff>
                  </from>
                  <to>
                    <xdr:col>2</xdr:col>
                    <xdr:colOff>0</xdr:colOff>
                    <xdr:row>17</xdr:row>
                    <xdr:rowOff>28575</xdr:rowOff>
                  </to>
                </anchor>
              </controlPr>
            </control>
          </mc:Choice>
        </mc:AlternateContent>
        <mc:AlternateContent xmlns:mc="http://schemas.openxmlformats.org/markup-compatibility/2006">
          <mc:Choice Requires="x14">
            <control shapeId="1172" r:id="rId100" name="Button 148">
              <controlPr defaultSize="0" print="0" autoFill="0" autoPict="0" macro="[0]!Button6_Click">
                <anchor moveWithCells="1">
                  <from>
                    <xdr:col>1</xdr:col>
                    <xdr:colOff>9525</xdr:colOff>
                    <xdr:row>17</xdr:row>
                    <xdr:rowOff>161925</xdr:rowOff>
                  </from>
                  <to>
                    <xdr:col>2</xdr:col>
                    <xdr:colOff>19050</xdr:colOff>
                    <xdr:row>19</xdr:row>
                    <xdr:rowOff>19050</xdr:rowOff>
                  </to>
                </anchor>
              </controlPr>
            </control>
          </mc:Choice>
        </mc:AlternateContent>
        <mc:AlternateContent xmlns:mc="http://schemas.openxmlformats.org/markup-compatibility/2006">
          <mc:Choice Requires="x14">
            <control shapeId="1173" r:id="rId101" name="Button 149">
              <controlPr defaultSize="0" print="0" autoFill="0" autoPict="0" macro="[0]!Button82_Click">
                <anchor moveWithCells="1">
                  <from>
                    <xdr:col>2</xdr:col>
                    <xdr:colOff>19050</xdr:colOff>
                    <xdr:row>17</xdr:row>
                    <xdr:rowOff>161925</xdr:rowOff>
                  </from>
                  <to>
                    <xdr:col>3</xdr:col>
                    <xdr:colOff>28575</xdr:colOff>
                    <xdr:row>19</xdr:row>
                    <xdr:rowOff>28575</xdr:rowOff>
                  </to>
                </anchor>
              </controlPr>
            </control>
          </mc:Choice>
        </mc:AlternateContent>
        <mc:AlternateContent xmlns:mc="http://schemas.openxmlformats.org/markup-compatibility/2006">
          <mc:Choice Requires="x14">
            <control shapeId="1174" r:id="rId102" name="Button 150">
              <controlPr defaultSize="0" print="0" autoFill="0" autoPict="0" macro="[0]!Button83_Click">
                <anchor moveWithCells="1">
                  <from>
                    <xdr:col>3</xdr:col>
                    <xdr:colOff>28575</xdr:colOff>
                    <xdr:row>17</xdr:row>
                    <xdr:rowOff>171450</xdr:rowOff>
                  </from>
                  <to>
                    <xdr:col>4</xdr:col>
                    <xdr:colOff>0</xdr:colOff>
                    <xdr:row>19</xdr:row>
                    <xdr:rowOff>28575</xdr:rowOff>
                  </to>
                </anchor>
              </controlPr>
            </control>
          </mc:Choice>
        </mc:AlternateContent>
        <mc:AlternateContent xmlns:mc="http://schemas.openxmlformats.org/markup-compatibility/2006">
          <mc:Choice Requires="x14">
            <control shapeId="1175" r:id="rId103" name="Button 151">
              <controlPr defaultSize="0" print="0" autoFill="0" autoPict="0" macro="[0]!Button84_Click">
                <anchor moveWithCells="1">
                  <from>
                    <xdr:col>4</xdr:col>
                    <xdr:colOff>57150</xdr:colOff>
                    <xdr:row>17</xdr:row>
                    <xdr:rowOff>180975</xdr:rowOff>
                  </from>
                  <to>
                    <xdr:col>5</xdr:col>
                    <xdr:colOff>57150</xdr:colOff>
                    <xdr:row>19</xdr:row>
                    <xdr:rowOff>38100</xdr:rowOff>
                  </to>
                </anchor>
              </controlPr>
            </control>
          </mc:Choice>
        </mc:AlternateContent>
        <mc:AlternateContent xmlns:mc="http://schemas.openxmlformats.org/markup-compatibility/2006">
          <mc:Choice Requires="x14">
            <control shapeId="1176" r:id="rId104" name="Button 152">
              <controlPr defaultSize="0" print="0" autoFill="0" autoPict="0" macro="[0]!Button85_Click">
                <anchor moveWithCells="1">
                  <from>
                    <xdr:col>5</xdr:col>
                    <xdr:colOff>57150</xdr:colOff>
                    <xdr:row>17</xdr:row>
                    <xdr:rowOff>171450</xdr:rowOff>
                  </from>
                  <to>
                    <xdr:col>6</xdr:col>
                    <xdr:colOff>200025</xdr:colOff>
                    <xdr:row>19</xdr:row>
                    <xdr:rowOff>19050</xdr:rowOff>
                  </to>
                </anchor>
              </controlPr>
            </control>
          </mc:Choice>
        </mc:AlternateContent>
        <mc:AlternateContent xmlns:mc="http://schemas.openxmlformats.org/markup-compatibility/2006">
          <mc:Choice Requires="x14">
            <control shapeId="1177" r:id="rId105" name="Button 153">
              <controlPr defaultSize="0" print="0" autoFill="0" autoPict="0" macro="[0]!Button6_Click">
                <anchor moveWithCells="1">
                  <from>
                    <xdr:col>1</xdr:col>
                    <xdr:colOff>9525</xdr:colOff>
                    <xdr:row>19</xdr:row>
                    <xdr:rowOff>161925</xdr:rowOff>
                  </from>
                  <to>
                    <xdr:col>2</xdr:col>
                    <xdr:colOff>19050</xdr:colOff>
                    <xdr:row>21</xdr:row>
                    <xdr:rowOff>19050</xdr:rowOff>
                  </to>
                </anchor>
              </controlPr>
            </control>
          </mc:Choice>
        </mc:AlternateContent>
        <mc:AlternateContent xmlns:mc="http://schemas.openxmlformats.org/markup-compatibility/2006">
          <mc:Choice Requires="x14">
            <control shapeId="1178" r:id="rId106" name="Button 154">
              <controlPr defaultSize="0" print="0" autoFill="0" autoPict="0" macro="[0]!Button87_Click">
                <anchor moveWithCells="1">
                  <from>
                    <xdr:col>2</xdr:col>
                    <xdr:colOff>19050</xdr:colOff>
                    <xdr:row>19</xdr:row>
                    <xdr:rowOff>161925</xdr:rowOff>
                  </from>
                  <to>
                    <xdr:col>3</xdr:col>
                    <xdr:colOff>28575</xdr:colOff>
                    <xdr:row>21</xdr:row>
                    <xdr:rowOff>28575</xdr:rowOff>
                  </to>
                </anchor>
              </controlPr>
            </control>
          </mc:Choice>
        </mc:AlternateContent>
        <mc:AlternateContent xmlns:mc="http://schemas.openxmlformats.org/markup-compatibility/2006">
          <mc:Choice Requires="x14">
            <control shapeId="1179" r:id="rId107" name="Button 155">
              <controlPr defaultSize="0" print="0" autoFill="0" autoPict="0" macro="[0]!Button88_Click">
                <anchor moveWithCells="1">
                  <from>
                    <xdr:col>3</xdr:col>
                    <xdr:colOff>28575</xdr:colOff>
                    <xdr:row>19</xdr:row>
                    <xdr:rowOff>171450</xdr:rowOff>
                  </from>
                  <to>
                    <xdr:col>4</xdr:col>
                    <xdr:colOff>0</xdr:colOff>
                    <xdr:row>21</xdr:row>
                    <xdr:rowOff>28575</xdr:rowOff>
                  </to>
                </anchor>
              </controlPr>
            </control>
          </mc:Choice>
        </mc:AlternateContent>
        <mc:AlternateContent xmlns:mc="http://schemas.openxmlformats.org/markup-compatibility/2006">
          <mc:Choice Requires="x14">
            <control shapeId="1180" r:id="rId108" name="Button 156">
              <controlPr defaultSize="0" print="0" autoFill="0" autoPict="0" macro="[0]!Button89_Click">
                <anchor moveWithCells="1">
                  <from>
                    <xdr:col>4</xdr:col>
                    <xdr:colOff>57150</xdr:colOff>
                    <xdr:row>19</xdr:row>
                    <xdr:rowOff>180975</xdr:rowOff>
                  </from>
                  <to>
                    <xdr:col>5</xdr:col>
                    <xdr:colOff>57150</xdr:colOff>
                    <xdr:row>21</xdr:row>
                    <xdr:rowOff>38100</xdr:rowOff>
                  </to>
                </anchor>
              </controlPr>
            </control>
          </mc:Choice>
        </mc:AlternateContent>
        <mc:AlternateContent xmlns:mc="http://schemas.openxmlformats.org/markup-compatibility/2006">
          <mc:Choice Requires="x14">
            <control shapeId="1181" r:id="rId109" name="Button 157">
              <controlPr defaultSize="0" print="0" autoFill="0" autoPict="0" macro="[0]!Button90_Click">
                <anchor moveWithCells="1">
                  <from>
                    <xdr:col>5</xdr:col>
                    <xdr:colOff>57150</xdr:colOff>
                    <xdr:row>19</xdr:row>
                    <xdr:rowOff>171450</xdr:rowOff>
                  </from>
                  <to>
                    <xdr:col>6</xdr:col>
                    <xdr:colOff>200025</xdr:colOff>
                    <xdr:row>21</xdr:row>
                    <xdr:rowOff>19050</xdr:rowOff>
                  </to>
                </anchor>
              </controlPr>
            </control>
          </mc:Choice>
        </mc:AlternateContent>
        <mc:AlternateContent xmlns:mc="http://schemas.openxmlformats.org/markup-compatibility/2006">
          <mc:Choice Requires="x14">
            <control shapeId="1183" r:id="rId110" name="Button 159">
              <controlPr defaultSize="0" print="0" autoFill="0" autoPict="0" macro="[0]!Button81_Click">
                <anchor moveWithCells="1">
                  <from>
                    <xdr:col>1</xdr:col>
                    <xdr:colOff>9525</xdr:colOff>
                    <xdr:row>18</xdr:row>
                    <xdr:rowOff>9525</xdr:rowOff>
                  </from>
                  <to>
                    <xdr:col>2</xdr:col>
                    <xdr:colOff>0</xdr:colOff>
                    <xdr:row>19</xdr:row>
                    <xdr:rowOff>28575</xdr:rowOff>
                  </to>
                </anchor>
              </controlPr>
            </control>
          </mc:Choice>
        </mc:AlternateContent>
        <mc:AlternateContent xmlns:mc="http://schemas.openxmlformats.org/markup-compatibility/2006">
          <mc:Choice Requires="x14">
            <control shapeId="1185" r:id="rId111" name="Button 161">
              <controlPr defaultSize="0" print="0" autoFill="0" autoPict="0" macro="[0]!Button86_Click">
                <anchor moveWithCells="1">
                  <from>
                    <xdr:col>1</xdr:col>
                    <xdr:colOff>9525</xdr:colOff>
                    <xdr:row>20</xdr:row>
                    <xdr:rowOff>9525</xdr:rowOff>
                  </from>
                  <to>
                    <xdr:col>2</xdr:col>
                    <xdr:colOff>0</xdr:colOff>
                    <xdr:row>21</xdr:row>
                    <xdr:rowOff>28575</xdr:rowOff>
                  </to>
                </anchor>
              </controlPr>
            </control>
          </mc:Choice>
        </mc:AlternateContent>
        <mc:AlternateContent xmlns:mc="http://schemas.openxmlformats.org/markup-compatibility/2006">
          <mc:Choice Requires="x14">
            <control shapeId="1186" r:id="rId112" name="Button 162">
              <controlPr defaultSize="0" print="0" autoFill="0" autoPict="0" macro="[0]!Button6_Click">
                <anchor moveWithCells="1">
                  <from>
                    <xdr:col>1</xdr:col>
                    <xdr:colOff>9525</xdr:colOff>
                    <xdr:row>21</xdr:row>
                    <xdr:rowOff>161925</xdr:rowOff>
                  </from>
                  <to>
                    <xdr:col>2</xdr:col>
                    <xdr:colOff>19050</xdr:colOff>
                    <xdr:row>23</xdr:row>
                    <xdr:rowOff>19050</xdr:rowOff>
                  </to>
                </anchor>
              </controlPr>
            </control>
          </mc:Choice>
        </mc:AlternateContent>
        <mc:AlternateContent xmlns:mc="http://schemas.openxmlformats.org/markup-compatibility/2006">
          <mc:Choice Requires="x14">
            <control shapeId="1187" r:id="rId113" name="Button 163">
              <controlPr defaultSize="0" print="0" autoFill="0" autoPict="0" macro="[0]!Button92_Click">
                <anchor moveWithCells="1">
                  <from>
                    <xdr:col>2</xdr:col>
                    <xdr:colOff>19050</xdr:colOff>
                    <xdr:row>21</xdr:row>
                    <xdr:rowOff>161925</xdr:rowOff>
                  </from>
                  <to>
                    <xdr:col>3</xdr:col>
                    <xdr:colOff>28575</xdr:colOff>
                    <xdr:row>23</xdr:row>
                    <xdr:rowOff>28575</xdr:rowOff>
                  </to>
                </anchor>
              </controlPr>
            </control>
          </mc:Choice>
        </mc:AlternateContent>
        <mc:AlternateContent xmlns:mc="http://schemas.openxmlformats.org/markup-compatibility/2006">
          <mc:Choice Requires="x14">
            <control shapeId="1188" r:id="rId114" name="Button 164">
              <controlPr defaultSize="0" print="0" autoFill="0" autoPict="0" macro="[0]!Button93_Click">
                <anchor moveWithCells="1">
                  <from>
                    <xdr:col>3</xdr:col>
                    <xdr:colOff>28575</xdr:colOff>
                    <xdr:row>21</xdr:row>
                    <xdr:rowOff>171450</xdr:rowOff>
                  </from>
                  <to>
                    <xdr:col>4</xdr:col>
                    <xdr:colOff>0</xdr:colOff>
                    <xdr:row>23</xdr:row>
                    <xdr:rowOff>28575</xdr:rowOff>
                  </to>
                </anchor>
              </controlPr>
            </control>
          </mc:Choice>
        </mc:AlternateContent>
        <mc:AlternateContent xmlns:mc="http://schemas.openxmlformats.org/markup-compatibility/2006">
          <mc:Choice Requires="x14">
            <control shapeId="1189" r:id="rId115" name="Button 165">
              <controlPr defaultSize="0" print="0" autoFill="0" autoPict="0" macro="[0]!Button94_Click">
                <anchor moveWithCells="1">
                  <from>
                    <xdr:col>4</xdr:col>
                    <xdr:colOff>57150</xdr:colOff>
                    <xdr:row>21</xdr:row>
                    <xdr:rowOff>180975</xdr:rowOff>
                  </from>
                  <to>
                    <xdr:col>5</xdr:col>
                    <xdr:colOff>57150</xdr:colOff>
                    <xdr:row>23</xdr:row>
                    <xdr:rowOff>38100</xdr:rowOff>
                  </to>
                </anchor>
              </controlPr>
            </control>
          </mc:Choice>
        </mc:AlternateContent>
        <mc:AlternateContent xmlns:mc="http://schemas.openxmlformats.org/markup-compatibility/2006">
          <mc:Choice Requires="x14">
            <control shapeId="1190" r:id="rId116" name="Button 166">
              <controlPr defaultSize="0" print="0" autoFill="0" autoPict="0" macro="[0]!Button95_Click">
                <anchor moveWithCells="1">
                  <from>
                    <xdr:col>5</xdr:col>
                    <xdr:colOff>57150</xdr:colOff>
                    <xdr:row>21</xdr:row>
                    <xdr:rowOff>171450</xdr:rowOff>
                  </from>
                  <to>
                    <xdr:col>6</xdr:col>
                    <xdr:colOff>200025</xdr:colOff>
                    <xdr:row>23</xdr:row>
                    <xdr:rowOff>19050</xdr:rowOff>
                  </to>
                </anchor>
              </controlPr>
            </control>
          </mc:Choice>
        </mc:AlternateContent>
        <mc:AlternateContent xmlns:mc="http://schemas.openxmlformats.org/markup-compatibility/2006">
          <mc:Choice Requires="x14">
            <control shapeId="1192" r:id="rId117" name="Button 168">
              <controlPr defaultSize="0" print="0" autoFill="0" autoPict="0" macro="[0]!Button91_Click">
                <anchor moveWithCells="1">
                  <from>
                    <xdr:col>1</xdr:col>
                    <xdr:colOff>9525</xdr:colOff>
                    <xdr:row>22</xdr:row>
                    <xdr:rowOff>9525</xdr:rowOff>
                  </from>
                  <to>
                    <xdr:col>2</xdr:col>
                    <xdr:colOff>0</xdr:colOff>
                    <xdr:row>23</xdr:row>
                    <xdr:rowOff>28575</xdr:rowOff>
                  </to>
                </anchor>
              </controlPr>
            </control>
          </mc:Choice>
        </mc:AlternateContent>
        <mc:AlternateContent xmlns:mc="http://schemas.openxmlformats.org/markup-compatibility/2006">
          <mc:Choice Requires="x14">
            <control shapeId="1195" r:id="rId118" name="Button 171">
              <controlPr defaultSize="0" print="0" autoFill="0" autoPict="0" macro="[0]!Button6_Click">
                <anchor moveWithCells="1">
                  <from>
                    <xdr:col>1</xdr:col>
                    <xdr:colOff>9525</xdr:colOff>
                    <xdr:row>12</xdr:row>
                    <xdr:rowOff>9525</xdr:rowOff>
                  </from>
                  <to>
                    <xdr:col>2</xdr:col>
                    <xdr:colOff>0</xdr:colOff>
                    <xdr:row>13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230CF-7E20-492B-819D-060C3EFE484A}">
  <sheetPr codeName="Sheet4"/>
  <dimension ref="A1:K42"/>
  <sheetViews>
    <sheetView zoomScale="82" workbookViewId="0">
      <selection activeCell="J2" sqref="J2"/>
    </sheetView>
  </sheetViews>
  <sheetFormatPr defaultRowHeight="15" x14ac:dyDescent="0.25"/>
  <cols>
    <col min="1" max="1" width="47.85546875" customWidth="1"/>
    <col min="2" max="2" width="26.28515625" customWidth="1"/>
    <col min="3" max="3" width="17.42578125" customWidth="1"/>
    <col min="4" max="4" width="21" bestFit="1" customWidth="1"/>
    <col min="5" max="5" width="17.5703125" customWidth="1"/>
    <col min="9" max="9" width="15.42578125" bestFit="1" customWidth="1"/>
  </cols>
  <sheetData>
    <row r="1" spans="1:11" ht="17.25" customHeight="1" x14ac:dyDescent="0.25">
      <c r="A1" s="21" t="s">
        <v>12</v>
      </c>
      <c r="B1" s="22" t="s">
        <v>13</v>
      </c>
      <c r="C1" s="22" t="s">
        <v>14</v>
      </c>
      <c r="D1" s="22" t="s">
        <v>15</v>
      </c>
      <c r="E1" s="22" t="s">
        <v>16</v>
      </c>
      <c r="I1" s="21" t="s">
        <v>12</v>
      </c>
      <c r="J1" s="21" t="s">
        <v>16</v>
      </c>
      <c r="K1" s="21" t="s">
        <v>17</v>
      </c>
    </row>
    <row r="2" spans="1:11" x14ac:dyDescent="0.25">
      <c r="A2" s="46" t="s">
        <v>18</v>
      </c>
      <c r="B2" s="23" t="s">
        <v>19</v>
      </c>
      <c r="C2" s="23">
        <v>5</v>
      </c>
      <c r="D2" s="23">
        <v>0</v>
      </c>
      <c r="E2" s="23">
        <v>5</v>
      </c>
      <c r="I2" s="24" t="s">
        <v>18</v>
      </c>
      <c r="J2" s="23">
        <f>E10</f>
        <v>123</v>
      </c>
      <c r="K2" s="25">
        <f ca="1">J2/$K$6</f>
        <v>0.40065146579804561</v>
      </c>
    </row>
    <row r="3" spans="1:11" x14ac:dyDescent="0.25">
      <c r="A3" s="47"/>
      <c r="B3" s="23" t="s">
        <v>20</v>
      </c>
      <c r="C3" s="23">
        <v>5</v>
      </c>
      <c r="D3" s="23">
        <v>15</v>
      </c>
      <c r="E3" s="23">
        <v>20</v>
      </c>
      <c r="I3" s="24" t="s">
        <v>21</v>
      </c>
      <c r="J3" s="23">
        <f>E18</f>
        <v>175</v>
      </c>
      <c r="K3" s="25">
        <f t="shared" ref="K3:K6" ca="1" si="0">J3/$K$6</f>
        <v>0.57003257328990231</v>
      </c>
    </row>
    <row r="4" spans="1:11" x14ac:dyDescent="0.25">
      <c r="A4" s="47"/>
      <c r="B4" s="23" t="s">
        <v>22</v>
      </c>
      <c r="C4" s="23">
        <v>2</v>
      </c>
      <c r="D4" s="23">
        <v>4</v>
      </c>
      <c r="E4" s="23">
        <v>6</v>
      </c>
      <c r="I4" s="24" t="s">
        <v>23</v>
      </c>
      <c r="J4" s="23">
        <f>E21</f>
        <v>4</v>
      </c>
      <c r="K4" s="25">
        <f t="shared" ca="1" si="0"/>
        <v>1.3029315960912053E-2</v>
      </c>
    </row>
    <row r="5" spans="1:11" x14ac:dyDescent="0.25">
      <c r="A5" s="47"/>
      <c r="B5" s="23" t="s">
        <v>24</v>
      </c>
      <c r="C5" s="23">
        <v>12</v>
      </c>
      <c r="D5" s="23">
        <v>4</v>
      </c>
      <c r="E5" s="23">
        <v>16</v>
      </c>
      <c r="I5" s="24" t="s">
        <v>25</v>
      </c>
      <c r="J5" s="23">
        <f>E24</f>
        <v>5</v>
      </c>
      <c r="K5" s="25">
        <f t="shared" ca="1" si="0"/>
        <v>1.6286644951140065E-2</v>
      </c>
    </row>
    <row r="6" spans="1:11" x14ac:dyDescent="0.25">
      <c r="A6" s="47"/>
      <c r="B6" s="23" t="s">
        <v>26</v>
      </c>
      <c r="C6" s="23">
        <v>4</v>
      </c>
      <c r="D6" s="23">
        <v>3</v>
      </c>
      <c r="E6" s="23">
        <v>7</v>
      </c>
      <c r="I6" s="24" t="s">
        <v>16</v>
      </c>
      <c r="J6" s="26">
        <f>SUM(J2:J5)</f>
        <v>307</v>
      </c>
      <c r="K6" s="27">
        <f t="shared" ca="1" si="0"/>
        <v>1</v>
      </c>
    </row>
    <row r="7" spans="1:11" x14ac:dyDescent="0.25">
      <c r="A7" s="47"/>
      <c r="B7" s="23" t="s">
        <v>27</v>
      </c>
      <c r="C7" s="23">
        <v>23</v>
      </c>
      <c r="D7" s="23">
        <v>6</v>
      </c>
      <c r="E7" s="23">
        <v>29</v>
      </c>
    </row>
    <row r="8" spans="1:11" x14ac:dyDescent="0.25">
      <c r="A8" s="47"/>
      <c r="B8" s="23" t="s">
        <v>28</v>
      </c>
      <c r="C8" s="23">
        <v>26</v>
      </c>
      <c r="D8" s="23">
        <v>6</v>
      </c>
      <c r="E8" s="23">
        <v>32</v>
      </c>
    </row>
    <row r="9" spans="1:11" x14ac:dyDescent="0.25">
      <c r="A9" s="48"/>
      <c r="B9" s="23" t="s">
        <v>29</v>
      </c>
      <c r="C9" s="23">
        <v>2</v>
      </c>
      <c r="D9" s="23">
        <v>6</v>
      </c>
      <c r="E9" s="23">
        <v>8</v>
      </c>
    </row>
    <row r="10" spans="1:11" x14ac:dyDescent="0.25">
      <c r="A10" s="23"/>
      <c r="B10" s="28" t="s">
        <v>16</v>
      </c>
      <c r="C10" s="29">
        <v>79</v>
      </c>
      <c r="D10" s="29">
        <v>44</v>
      </c>
      <c r="E10" s="21">
        <v>123</v>
      </c>
    </row>
    <row r="11" spans="1:11" x14ac:dyDescent="0.25">
      <c r="A11" s="49" t="s">
        <v>21</v>
      </c>
      <c r="B11" s="23" t="s">
        <v>30</v>
      </c>
      <c r="C11" s="23">
        <v>8</v>
      </c>
      <c r="D11" s="23">
        <v>3</v>
      </c>
      <c r="E11" s="23">
        <v>11</v>
      </c>
    </row>
    <row r="12" spans="1:11" x14ac:dyDescent="0.25">
      <c r="A12" s="49"/>
      <c r="B12" s="23" t="s">
        <v>31</v>
      </c>
      <c r="C12" s="23">
        <v>10</v>
      </c>
      <c r="D12" s="23">
        <v>10</v>
      </c>
      <c r="E12" s="23">
        <v>20</v>
      </c>
    </row>
    <row r="13" spans="1:11" x14ac:dyDescent="0.25">
      <c r="A13" s="49"/>
      <c r="B13" s="23" t="s">
        <v>32</v>
      </c>
      <c r="C13" s="23">
        <v>41</v>
      </c>
      <c r="D13" s="23">
        <v>25</v>
      </c>
      <c r="E13" s="23">
        <v>66</v>
      </c>
    </row>
    <row r="14" spans="1:11" x14ac:dyDescent="0.25">
      <c r="A14" s="49"/>
      <c r="B14" s="23" t="s">
        <v>33</v>
      </c>
      <c r="C14" s="23">
        <v>0</v>
      </c>
      <c r="D14" s="23">
        <v>3</v>
      </c>
      <c r="E14" s="23">
        <v>3</v>
      </c>
    </row>
    <row r="15" spans="1:11" x14ac:dyDescent="0.25">
      <c r="A15" s="49"/>
      <c r="B15" s="23" t="s">
        <v>34</v>
      </c>
      <c r="C15" s="23">
        <v>18</v>
      </c>
      <c r="D15" s="23">
        <v>4</v>
      </c>
      <c r="E15" s="23">
        <v>22</v>
      </c>
    </row>
    <row r="16" spans="1:11" x14ac:dyDescent="0.25">
      <c r="A16" s="49"/>
      <c r="B16" s="23" t="s">
        <v>35</v>
      </c>
      <c r="C16" s="23">
        <v>3</v>
      </c>
      <c r="D16" s="23">
        <v>4</v>
      </c>
      <c r="E16" s="23">
        <v>7</v>
      </c>
    </row>
    <row r="17" spans="1:5" x14ac:dyDescent="0.25">
      <c r="A17" s="49"/>
      <c r="B17" s="23" t="s">
        <v>36</v>
      </c>
      <c r="C17" s="23">
        <v>33</v>
      </c>
      <c r="D17" s="23">
        <v>13</v>
      </c>
      <c r="E17" s="23">
        <v>46</v>
      </c>
    </row>
    <row r="18" spans="1:5" x14ac:dyDescent="0.25">
      <c r="A18" s="23"/>
      <c r="B18" s="28" t="s">
        <v>16</v>
      </c>
      <c r="C18" s="29">
        <v>113</v>
      </c>
      <c r="D18" s="29">
        <v>62</v>
      </c>
      <c r="E18" s="21">
        <v>175</v>
      </c>
    </row>
    <row r="19" spans="1:5" x14ac:dyDescent="0.25">
      <c r="A19" s="49" t="s">
        <v>23</v>
      </c>
      <c r="B19" s="23" t="s">
        <v>37</v>
      </c>
      <c r="C19" s="23">
        <v>1</v>
      </c>
      <c r="D19" s="23">
        <v>1</v>
      </c>
      <c r="E19" s="23">
        <v>2</v>
      </c>
    </row>
    <row r="20" spans="1:5" x14ac:dyDescent="0.25">
      <c r="A20" s="49"/>
      <c r="B20" s="23" t="s">
        <v>38</v>
      </c>
      <c r="C20" s="23">
        <v>2</v>
      </c>
      <c r="D20" s="23">
        <v>0</v>
      </c>
      <c r="E20" s="23">
        <v>2</v>
      </c>
    </row>
    <row r="21" spans="1:5" x14ac:dyDescent="0.25">
      <c r="A21" s="23"/>
      <c r="B21" s="28" t="s">
        <v>16</v>
      </c>
      <c r="C21" s="29">
        <v>3</v>
      </c>
      <c r="D21" s="29">
        <v>1</v>
      </c>
      <c r="E21" s="21">
        <v>4</v>
      </c>
    </row>
    <row r="22" spans="1:5" x14ac:dyDescent="0.25">
      <c r="A22" s="49" t="s">
        <v>25</v>
      </c>
      <c r="B22" s="23" t="s">
        <v>39</v>
      </c>
      <c r="C22" s="23">
        <v>1</v>
      </c>
      <c r="D22" s="23">
        <v>1</v>
      </c>
      <c r="E22" s="23">
        <v>2</v>
      </c>
    </row>
    <row r="23" spans="1:5" x14ac:dyDescent="0.25">
      <c r="A23" s="49"/>
      <c r="B23" s="23" t="s">
        <v>40</v>
      </c>
      <c r="C23" s="23">
        <v>2</v>
      </c>
      <c r="D23" s="23">
        <v>1</v>
      </c>
      <c r="E23" s="23">
        <v>3</v>
      </c>
    </row>
    <row r="24" spans="1:5" x14ac:dyDescent="0.25">
      <c r="A24" s="23"/>
      <c r="B24" s="28" t="s">
        <v>16</v>
      </c>
      <c r="C24" s="29">
        <v>3</v>
      </c>
      <c r="D24" s="29">
        <v>2</v>
      </c>
      <c r="E24" s="21">
        <v>5</v>
      </c>
    </row>
    <row r="30" spans="1:5" x14ac:dyDescent="0.25">
      <c r="A30" s="43" t="s">
        <v>103</v>
      </c>
    </row>
    <row r="31" spans="1:5" x14ac:dyDescent="0.25">
      <c r="A31" s="44" t="s">
        <v>104</v>
      </c>
    </row>
    <row r="32" spans="1:5" x14ac:dyDescent="0.25">
      <c r="A32" s="44" t="s">
        <v>105</v>
      </c>
    </row>
    <row r="33" spans="1:1" x14ac:dyDescent="0.25">
      <c r="A33" s="44" t="s">
        <v>106</v>
      </c>
    </row>
    <row r="34" spans="1:1" x14ac:dyDescent="0.25">
      <c r="A34" s="43" t="s">
        <v>107</v>
      </c>
    </row>
    <row r="35" spans="1:1" x14ac:dyDescent="0.25">
      <c r="A35" s="45" t="s">
        <v>108</v>
      </c>
    </row>
    <row r="36" spans="1:1" x14ac:dyDescent="0.25">
      <c r="A36" s="45" t="s">
        <v>109</v>
      </c>
    </row>
    <row r="37" spans="1:1" x14ac:dyDescent="0.25">
      <c r="A37" s="45" t="s">
        <v>110</v>
      </c>
    </row>
    <row r="38" spans="1:1" x14ac:dyDescent="0.25">
      <c r="A38" s="43" t="s">
        <v>111</v>
      </c>
    </row>
    <row r="39" spans="1:1" x14ac:dyDescent="0.25">
      <c r="A39" s="43"/>
    </row>
    <row r="40" spans="1:1" x14ac:dyDescent="0.25">
      <c r="A40" s="43"/>
    </row>
    <row r="41" spans="1:1" x14ac:dyDescent="0.25">
      <c r="A41" s="43" t="s">
        <v>112</v>
      </c>
    </row>
    <row r="42" spans="1:1" x14ac:dyDescent="0.25">
      <c r="A42" t="s">
        <v>113</v>
      </c>
    </row>
  </sheetData>
  <mergeCells count="4">
    <mergeCell ref="A2:A9"/>
    <mergeCell ref="A11:A17"/>
    <mergeCell ref="A19:A20"/>
    <mergeCell ref="A22:A2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Analysis</vt:lpstr>
      <vt:lpstr>Questions and Summary</vt:lpstr>
      <vt:lpstr>Findings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djw0393</dc:creator>
  <cp:keywords/>
  <dc:description/>
  <cp:lastModifiedBy>Daniel Wild [djw0393]</cp:lastModifiedBy>
  <cp:revision/>
  <dcterms:created xsi:type="dcterms:W3CDTF">2022-03-13T21:32:54Z</dcterms:created>
  <dcterms:modified xsi:type="dcterms:W3CDTF">2022-11-14T03:17:11Z</dcterms:modified>
  <cp:category/>
  <cp:contentStatus/>
</cp:coreProperties>
</file>